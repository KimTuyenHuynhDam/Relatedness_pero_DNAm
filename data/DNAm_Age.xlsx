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Documents/GitHub/Relatedness_pero_DNAm/data/"/>
    </mc:Choice>
  </mc:AlternateContent>
  <xr:revisionPtr revIDLastSave="10" documentId="11_F25DC773A252ABDACC1048BC0118678E5ADE58F7" xr6:coauthVersionLast="47" xr6:coauthVersionMax="47" xr10:uidLastSave="{0494FB92-91E9-491E-85E2-E4B96C1367BB}"/>
  <bookViews>
    <workbookView xWindow="780" yWindow="78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7" i="1" l="1"/>
  <c r="J97" i="1"/>
  <c r="L97" i="1" s="1"/>
  <c r="I97" i="1"/>
  <c r="K96" i="1"/>
  <c r="J96" i="1"/>
  <c r="L96" i="1" s="1"/>
  <c r="I96" i="1"/>
  <c r="K95" i="1"/>
  <c r="J95" i="1"/>
  <c r="L95" i="1" s="1"/>
  <c r="I95" i="1"/>
  <c r="K94" i="1"/>
  <c r="J94" i="1"/>
  <c r="L94" i="1" s="1"/>
  <c r="I94" i="1"/>
  <c r="K93" i="1"/>
  <c r="J93" i="1"/>
  <c r="L93" i="1" s="1"/>
  <c r="I93" i="1"/>
  <c r="K92" i="1"/>
  <c r="J92" i="1"/>
  <c r="L92" i="1" s="1"/>
  <c r="I92" i="1"/>
  <c r="K91" i="1"/>
  <c r="J91" i="1"/>
  <c r="L91" i="1" s="1"/>
  <c r="I91" i="1"/>
  <c r="K90" i="1"/>
  <c r="J90" i="1"/>
  <c r="L90" i="1" s="1"/>
  <c r="I90" i="1"/>
  <c r="K89" i="1"/>
  <c r="J89" i="1"/>
  <c r="L89" i="1" s="1"/>
  <c r="I89" i="1"/>
  <c r="K88" i="1"/>
  <c r="J88" i="1"/>
  <c r="L88" i="1" s="1"/>
  <c r="I88" i="1"/>
  <c r="K87" i="1"/>
  <c r="J87" i="1"/>
  <c r="L87" i="1" s="1"/>
  <c r="I87" i="1"/>
  <c r="K86" i="1"/>
  <c r="J86" i="1"/>
  <c r="L86" i="1" s="1"/>
  <c r="I86" i="1"/>
  <c r="K85" i="1"/>
  <c r="J85" i="1"/>
  <c r="L85" i="1" s="1"/>
  <c r="I85" i="1"/>
  <c r="K84" i="1"/>
  <c r="J84" i="1"/>
  <c r="L84" i="1" s="1"/>
  <c r="I84" i="1"/>
  <c r="K83" i="1"/>
  <c r="J83" i="1"/>
  <c r="L83" i="1" s="1"/>
  <c r="I83" i="1"/>
  <c r="K82" i="1"/>
  <c r="J82" i="1"/>
  <c r="L82" i="1" s="1"/>
  <c r="I82" i="1"/>
  <c r="K81" i="1"/>
  <c r="J81" i="1"/>
  <c r="L81" i="1" s="1"/>
  <c r="I81" i="1"/>
  <c r="K80" i="1"/>
  <c r="J80" i="1"/>
  <c r="L80" i="1" s="1"/>
  <c r="I80" i="1"/>
  <c r="K79" i="1"/>
  <c r="J79" i="1"/>
  <c r="L79" i="1" s="1"/>
  <c r="I79" i="1"/>
  <c r="K78" i="1"/>
  <c r="J78" i="1"/>
  <c r="L78" i="1" s="1"/>
  <c r="I78" i="1"/>
  <c r="K77" i="1"/>
  <c r="J77" i="1"/>
  <c r="L77" i="1" s="1"/>
  <c r="I77" i="1"/>
  <c r="K76" i="1"/>
  <c r="J76" i="1"/>
  <c r="L76" i="1" s="1"/>
  <c r="I76" i="1"/>
  <c r="K75" i="1"/>
  <c r="J75" i="1"/>
  <c r="L75" i="1" s="1"/>
  <c r="I75" i="1"/>
  <c r="K74" i="1"/>
  <c r="J74" i="1"/>
  <c r="L74" i="1" s="1"/>
  <c r="I74" i="1"/>
  <c r="K73" i="1"/>
  <c r="J73" i="1"/>
  <c r="L73" i="1" s="1"/>
  <c r="I73" i="1"/>
  <c r="K72" i="1"/>
  <c r="J72" i="1"/>
  <c r="L72" i="1" s="1"/>
  <c r="I72" i="1"/>
  <c r="K71" i="1"/>
  <c r="J71" i="1"/>
  <c r="L71" i="1" s="1"/>
  <c r="I71" i="1"/>
  <c r="K70" i="1"/>
  <c r="J70" i="1"/>
  <c r="L70" i="1" s="1"/>
  <c r="I70" i="1"/>
  <c r="K69" i="1"/>
  <c r="J69" i="1"/>
  <c r="L69" i="1" s="1"/>
  <c r="I69" i="1"/>
  <c r="K68" i="1"/>
  <c r="J68" i="1"/>
  <c r="L68" i="1" s="1"/>
  <c r="I68" i="1"/>
  <c r="L67" i="1"/>
  <c r="K67" i="1"/>
  <c r="J67" i="1"/>
  <c r="I67" i="1"/>
  <c r="K66" i="1"/>
  <c r="J66" i="1"/>
  <c r="L66" i="1" s="1"/>
  <c r="I66" i="1"/>
  <c r="K65" i="1"/>
  <c r="J65" i="1"/>
  <c r="L65" i="1" s="1"/>
  <c r="I65" i="1"/>
  <c r="K64" i="1"/>
  <c r="J64" i="1"/>
  <c r="L64" i="1" s="1"/>
  <c r="I64" i="1"/>
  <c r="K63" i="1"/>
  <c r="J63" i="1"/>
  <c r="L63" i="1" s="1"/>
  <c r="I63" i="1"/>
  <c r="K62" i="1"/>
  <c r="J62" i="1"/>
  <c r="L62" i="1" s="1"/>
  <c r="I62" i="1"/>
  <c r="K61" i="1"/>
  <c r="J61" i="1"/>
  <c r="L61" i="1" s="1"/>
  <c r="I61" i="1"/>
  <c r="K60" i="1"/>
  <c r="J60" i="1"/>
  <c r="L60" i="1" s="1"/>
  <c r="I60" i="1"/>
  <c r="K59" i="1"/>
  <c r="J59" i="1"/>
  <c r="L59" i="1" s="1"/>
  <c r="I59" i="1"/>
  <c r="K58" i="1"/>
  <c r="J58" i="1"/>
  <c r="L58" i="1" s="1"/>
  <c r="I58" i="1"/>
  <c r="K57" i="1"/>
  <c r="J57" i="1"/>
  <c r="L57" i="1" s="1"/>
  <c r="I57" i="1"/>
  <c r="K56" i="1"/>
  <c r="J56" i="1"/>
  <c r="L56" i="1" s="1"/>
  <c r="I56" i="1"/>
  <c r="L55" i="1"/>
  <c r="K55" i="1"/>
  <c r="J55" i="1"/>
  <c r="I55" i="1"/>
  <c r="K54" i="1"/>
  <c r="J54" i="1"/>
  <c r="L54" i="1" s="1"/>
  <c r="I54" i="1"/>
  <c r="K53" i="1"/>
  <c r="J53" i="1"/>
  <c r="L53" i="1" s="1"/>
  <c r="I53" i="1"/>
  <c r="K52" i="1"/>
  <c r="J52" i="1"/>
  <c r="L52" i="1" s="1"/>
  <c r="I52" i="1"/>
  <c r="K51" i="1"/>
  <c r="J51" i="1"/>
  <c r="L51" i="1" s="1"/>
  <c r="I51" i="1"/>
  <c r="K50" i="1"/>
  <c r="J50" i="1"/>
  <c r="L50" i="1" s="1"/>
  <c r="I50" i="1"/>
  <c r="L49" i="1"/>
  <c r="K49" i="1"/>
  <c r="J49" i="1"/>
  <c r="I49" i="1"/>
  <c r="K48" i="1"/>
  <c r="J48" i="1"/>
  <c r="L48" i="1" s="1"/>
  <c r="I48" i="1"/>
  <c r="K47" i="1"/>
  <c r="J47" i="1"/>
  <c r="L47" i="1" s="1"/>
  <c r="I47" i="1"/>
  <c r="K46" i="1"/>
  <c r="J46" i="1"/>
  <c r="L46" i="1" s="1"/>
  <c r="I46" i="1"/>
  <c r="K45" i="1"/>
  <c r="J45" i="1"/>
  <c r="L45" i="1" s="1"/>
  <c r="I45" i="1"/>
  <c r="K44" i="1"/>
  <c r="J44" i="1"/>
  <c r="L44" i="1" s="1"/>
  <c r="I44" i="1"/>
  <c r="K43" i="1"/>
  <c r="J43" i="1"/>
  <c r="L43" i="1" s="1"/>
  <c r="I43" i="1"/>
  <c r="K42" i="1"/>
  <c r="J42" i="1"/>
  <c r="L42" i="1" s="1"/>
  <c r="I42" i="1"/>
  <c r="K41" i="1"/>
  <c r="J41" i="1"/>
  <c r="L41" i="1" s="1"/>
  <c r="I41" i="1"/>
  <c r="K40" i="1"/>
  <c r="J40" i="1"/>
  <c r="L40" i="1" s="1"/>
  <c r="I40" i="1"/>
  <c r="K39" i="1"/>
  <c r="J39" i="1"/>
  <c r="L39" i="1" s="1"/>
  <c r="I39" i="1"/>
  <c r="K38" i="1"/>
  <c r="J38" i="1"/>
  <c r="L38" i="1" s="1"/>
  <c r="I38" i="1"/>
  <c r="K37" i="1"/>
  <c r="J37" i="1"/>
  <c r="L37" i="1" s="1"/>
  <c r="I37" i="1"/>
  <c r="K36" i="1"/>
  <c r="J36" i="1"/>
  <c r="L36" i="1" s="1"/>
  <c r="I36" i="1"/>
  <c r="K35" i="1"/>
  <c r="J35" i="1"/>
  <c r="L35" i="1" s="1"/>
  <c r="I35" i="1"/>
  <c r="K34" i="1"/>
  <c r="J34" i="1"/>
  <c r="L34" i="1" s="1"/>
  <c r="I34" i="1"/>
  <c r="K33" i="1"/>
  <c r="J33" i="1"/>
  <c r="L33" i="1" s="1"/>
  <c r="I33" i="1"/>
  <c r="K32" i="1"/>
  <c r="J32" i="1"/>
  <c r="L32" i="1" s="1"/>
  <c r="I32" i="1"/>
  <c r="K31" i="1"/>
  <c r="J31" i="1"/>
  <c r="L31" i="1" s="1"/>
  <c r="I31" i="1"/>
  <c r="K30" i="1"/>
  <c r="J30" i="1"/>
  <c r="L30" i="1" s="1"/>
  <c r="I30" i="1"/>
  <c r="K29" i="1"/>
  <c r="J29" i="1"/>
  <c r="L29" i="1" s="1"/>
  <c r="I29" i="1"/>
  <c r="K28" i="1"/>
  <c r="J28" i="1"/>
  <c r="L28" i="1" s="1"/>
  <c r="I28" i="1"/>
  <c r="K27" i="1"/>
  <c r="J27" i="1"/>
  <c r="L27" i="1" s="1"/>
  <c r="I27" i="1"/>
  <c r="K26" i="1"/>
  <c r="J26" i="1"/>
  <c r="L26" i="1" s="1"/>
  <c r="I26" i="1"/>
  <c r="L25" i="1"/>
  <c r="K25" i="1"/>
  <c r="J25" i="1"/>
  <c r="I25" i="1"/>
  <c r="K24" i="1"/>
  <c r="J24" i="1"/>
  <c r="L24" i="1" s="1"/>
  <c r="I24" i="1"/>
  <c r="K23" i="1"/>
  <c r="J23" i="1"/>
  <c r="L23" i="1" s="1"/>
  <c r="I23" i="1"/>
  <c r="K22" i="1"/>
  <c r="J22" i="1"/>
  <c r="L22" i="1" s="1"/>
  <c r="I22" i="1"/>
  <c r="K21" i="1"/>
  <c r="J21" i="1"/>
  <c r="L21" i="1" s="1"/>
  <c r="I21" i="1"/>
  <c r="K20" i="1"/>
  <c r="J20" i="1"/>
  <c r="L20" i="1" s="1"/>
  <c r="I20" i="1"/>
  <c r="L19" i="1"/>
  <c r="K19" i="1"/>
  <c r="J19" i="1"/>
  <c r="I19" i="1"/>
  <c r="K18" i="1"/>
  <c r="J18" i="1"/>
  <c r="L18" i="1" s="1"/>
  <c r="I18" i="1"/>
  <c r="K17" i="1"/>
  <c r="J17" i="1"/>
  <c r="L17" i="1" s="1"/>
  <c r="I17" i="1"/>
  <c r="K16" i="1"/>
  <c r="J16" i="1"/>
  <c r="L16" i="1" s="1"/>
  <c r="I16" i="1"/>
  <c r="K15" i="1"/>
  <c r="J15" i="1"/>
  <c r="L15" i="1" s="1"/>
  <c r="I15" i="1"/>
  <c r="K14" i="1"/>
  <c r="J14" i="1"/>
  <c r="L14" i="1" s="1"/>
  <c r="I14" i="1"/>
  <c r="K13" i="1"/>
  <c r="J13" i="1"/>
  <c r="L13" i="1" s="1"/>
  <c r="I13" i="1"/>
  <c r="K12" i="1"/>
  <c r="J12" i="1"/>
  <c r="L12" i="1" s="1"/>
  <c r="I12" i="1"/>
  <c r="K11" i="1"/>
  <c r="J11" i="1"/>
  <c r="L11" i="1" s="1"/>
  <c r="I11" i="1"/>
  <c r="K10" i="1"/>
  <c r="J10" i="1"/>
  <c r="L10" i="1" s="1"/>
  <c r="I10" i="1"/>
  <c r="K9" i="1"/>
  <c r="J9" i="1"/>
  <c r="L9" i="1" s="1"/>
  <c r="I9" i="1"/>
  <c r="K8" i="1"/>
  <c r="J8" i="1"/>
  <c r="L8" i="1" s="1"/>
  <c r="I8" i="1"/>
  <c r="K7" i="1"/>
  <c r="J7" i="1"/>
  <c r="L7" i="1" s="1"/>
  <c r="I7" i="1"/>
  <c r="K6" i="1"/>
  <c r="J6" i="1"/>
  <c r="L6" i="1" s="1"/>
  <c r="I6" i="1"/>
  <c r="K5" i="1"/>
  <c r="J5" i="1"/>
  <c r="L5" i="1" s="1"/>
  <c r="I5" i="1"/>
  <c r="K4" i="1"/>
  <c r="J4" i="1"/>
  <c r="L4" i="1" s="1"/>
  <c r="I4" i="1"/>
  <c r="K3" i="1"/>
  <c r="J3" i="1"/>
  <c r="L3" i="1" s="1"/>
  <c r="I3" i="1"/>
  <c r="K2" i="1"/>
  <c r="J2" i="1"/>
  <c r="L2" i="1" s="1"/>
  <c r="I2" i="1"/>
</calcChain>
</file>

<file path=xl/sharedStrings.xml><?xml version="1.0" encoding="utf-8"?>
<sst xmlns="http://schemas.openxmlformats.org/spreadsheetml/2006/main" count="204" uniqueCount="15">
  <si>
    <t>ExternalSampleName</t>
  </si>
  <si>
    <t>UniversalClock2Pan</t>
  </si>
  <si>
    <t>Age</t>
  </si>
  <si>
    <t>Sex</t>
  </si>
  <si>
    <t>Relatedness</t>
  </si>
  <si>
    <t>DNAmAgeTailFinal</t>
  </si>
  <si>
    <t>PredictedMaxLifeSpan</t>
  </si>
  <si>
    <t>PredMaxRatio</t>
  </si>
  <si>
    <t>CorRatioDNAm</t>
  </si>
  <si>
    <t>ResAge</t>
  </si>
  <si>
    <t>CorrRatioResAge</t>
  </si>
  <si>
    <t>F</t>
  </si>
  <si>
    <t>M</t>
  </si>
  <si>
    <t>Species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</si>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</sst>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activeCell="C1" sqref="C1:C1048576"/>
    </sheetView>
  </sheetViews>
  <sheetFormatPr defaultRowHeight="15" x14ac:dyDescent="0.25"/>
  <cols>
    <col min="1" max="1" width="20.42578125" bestFit="1" customWidth="1"/>
    <col min="2" max="2" width="18.5703125" bestFit="1" customWidth="1"/>
    <col min="3" max="3" width="11.42578125"/>
    <col min="7" max="7" width="17.85546875" bestFit="1" customWidth="1"/>
    <col min="8" max="8" width="21.140625" bestFit="1" customWidth="1"/>
    <col min="9" max="9" width="13.5703125" bestFit="1" customWidth="1"/>
    <col min="10" max="10" width="14.42578125" bestFit="1" customWidth="1"/>
    <col min="11" max="11" width="12.7109375" bestFit="1" customWidth="1"/>
    <col min="12" max="12" width="16" bestFit="1" customWidth="1"/>
  </cols>
  <sheetData>
    <row r="1" spans="1:12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40170</v>
      </c>
      <c r="B2">
        <v>0.13229460400000001</v>
      </c>
      <c r="C2" t="s">
        <v>14</v>
      </c>
      <c r="D2">
        <v>0.126</v>
      </c>
      <c r="E2" t="s">
        <v>11</v>
      </c>
      <c r="F2">
        <v>11.3</v>
      </c>
      <c r="G2">
        <v>0.20709654299999999</v>
      </c>
      <c r="H2">
        <v>1.8214285079999999</v>
      </c>
      <c r="I2">
        <f t="shared" ref="I2:I65" si="0">H2*2.693307377</f>
        <v>4.9056668372745031</v>
      </c>
      <c r="J2">
        <f t="shared" ref="J2:J65" si="1">G2*2.693307377</f>
        <v>0.55777464701309765</v>
      </c>
      <c r="K2">
        <f t="shared" ref="K2:K65" si="2">G2-D2</f>
        <v>8.1096542999999993E-2</v>
      </c>
      <c r="L2">
        <f t="shared" ref="L2:L65" si="3">J2-D2</f>
        <v>0.43177464701309765</v>
      </c>
    </row>
    <row r="3" spans="1:12" x14ac:dyDescent="0.25">
      <c r="A3">
        <v>39722</v>
      </c>
      <c r="B3">
        <v>2.8290549129999998</v>
      </c>
      <c r="C3" t="s">
        <v>14</v>
      </c>
      <c r="D3">
        <v>1.744</v>
      </c>
      <c r="E3" t="s">
        <v>11</v>
      </c>
      <c r="F3">
        <v>13.9</v>
      </c>
      <c r="G3">
        <v>0.53203224100000002</v>
      </c>
      <c r="H3">
        <v>2.066543443</v>
      </c>
      <c r="I3">
        <f t="shared" si="0"/>
        <v>5.5658366999228788</v>
      </c>
      <c r="J3">
        <f t="shared" si="1"/>
        <v>1.432926359487142</v>
      </c>
      <c r="K3">
        <f t="shared" si="2"/>
        <v>-1.211967759</v>
      </c>
      <c r="L3">
        <f t="shared" si="3"/>
        <v>-0.31107364051285802</v>
      </c>
    </row>
    <row r="4" spans="1:12" x14ac:dyDescent="0.25">
      <c r="A4">
        <v>39686</v>
      </c>
      <c r="B4">
        <v>2.1400834049999999</v>
      </c>
      <c r="C4" t="s">
        <v>14</v>
      </c>
      <c r="D4">
        <v>1.829</v>
      </c>
      <c r="E4" t="s">
        <v>11</v>
      </c>
      <c r="F4">
        <v>13.9</v>
      </c>
      <c r="G4">
        <v>0.50484794600000005</v>
      </c>
      <c r="H4">
        <v>1.977677865</v>
      </c>
      <c r="I4">
        <f t="shared" si="0"/>
        <v>5.3264943831341096</v>
      </c>
      <c r="J4">
        <f t="shared" si="1"/>
        <v>1.3597106972250979</v>
      </c>
      <c r="K4">
        <f t="shared" si="2"/>
        <v>-1.3241520539999998</v>
      </c>
      <c r="L4">
        <f t="shared" si="3"/>
        <v>-0.46928930277490211</v>
      </c>
    </row>
    <row r="5" spans="1:12" x14ac:dyDescent="0.25">
      <c r="A5">
        <v>39725</v>
      </c>
      <c r="B5">
        <v>2.485720471</v>
      </c>
      <c r="C5" t="s">
        <v>14</v>
      </c>
      <c r="D5">
        <v>1.744</v>
      </c>
      <c r="E5" t="s">
        <v>11</v>
      </c>
      <c r="F5">
        <v>13.9</v>
      </c>
      <c r="G5">
        <v>0.60489948900000001</v>
      </c>
      <c r="H5">
        <v>1.9054918320000001</v>
      </c>
      <c r="I5">
        <f t="shared" si="0"/>
        <v>5.1320752079388452</v>
      </c>
      <c r="J5">
        <f t="shared" si="1"/>
        <v>1.6291802560672304</v>
      </c>
      <c r="K5">
        <f t="shared" si="2"/>
        <v>-1.1391005110000001</v>
      </c>
      <c r="L5">
        <f t="shared" si="3"/>
        <v>-0.11481974393276961</v>
      </c>
    </row>
    <row r="6" spans="1:12" x14ac:dyDescent="0.25">
      <c r="A6">
        <v>39898</v>
      </c>
      <c r="B6">
        <v>1.9419223059999999</v>
      </c>
      <c r="C6" t="s">
        <v>14</v>
      </c>
      <c r="D6">
        <v>1.4810000000000001</v>
      </c>
      <c r="E6" t="s">
        <v>12</v>
      </c>
      <c r="F6">
        <v>14.4</v>
      </c>
      <c r="G6">
        <v>0.47337976300000001</v>
      </c>
      <c r="H6">
        <v>1.968070792</v>
      </c>
      <c r="I6">
        <f t="shared" si="0"/>
        <v>5.3006195825518327</v>
      </c>
      <c r="J6">
        <f t="shared" si="1"/>
        <v>1.2749572078104117</v>
      </c>
      <c r="K6">
        <f t="shared" si="2"/>
        <v>-1.007620237</v>
      </c>
      <c r="L6">
        <f t="shared" si="3"/>
        <v>-0.20604279218958843</v>
      </c>
    </row>
    <row r="7" spans="1:12" x14ac:dyDescent="0.25">
      <c r="A7">
        <v>39389</v>
      </c>
      <c r="B7">
        <v>2.9624784329999998</v>
      </c>
      <c r="C7" t="s">
        <v>14</v>
      </c>
      <c r="D7">
        <v>2.3410000000000002</v>
      </c>
      <c r="E7" t="s">
        <v>11</v>
      </c>
      <c r="F7">
        <v>14.9</v>
      </c>
      <c r="G7">
        <v>0.55204690300000003</v>
      </c>
      <c r="H7">
        <v>2.008333409</v>
      </c>
      <c r="I7">
        <f t="shared" si="0"/>
        <v>5.4090591859352584</v>
      </c>
      <c r="J7">
        <f t="shared" si="1"/>
        <v>1.4868319962999035</v>
      </c>
      <c r="K7">
        <f t="shared" si="2"/>
        <v>-1.7889530970000003</v>
      </c>
      <c r="L7">
        <f t="shared" si="3"/>
        <v>-0.85416800370009671</v>
      </c>
    </row>
    <row r="8" spans="1:12" x14ac:dyDescent="0.25">
      <c r="A8">
        <v>40074</v>
      </c>
      <c r="B8">
        <v>0.54622724</v>
      </c>
      <c r="C8" t="s">
        <v>14</v>
      </c>
      <c r="D8">
        <v>0.42399999999999999</v>
      </c>
      <c r="E8" t="s">
        <v>11</v>
      </c>
      <c r="F8">
        <v>14.9</v>
      </c>
      <c r="G8">
        <v>0.33708091200000001</v>
      </c>
      <c r="H8">
        <v>1.825648393</v>
      </c>
      <c r="I8">
        <f t="shared" si="0"/>
        <v>4.9170322846750949</v>
      </c>
      <c r="J8">
        <f t="shared" si="1"/>
        <v>0.90786250693548787</v>
      </c>
      <c r="K8">
        <f t="shared" si="2"/>
        <v>-8.6919087999999978E-2</v>
      </c>
      <c r="L8">
        <f t="shared" si="3"/>
        <v>0.48386250693548788</v>
      </c>
    </row>
    <row r="9" spans="1:12" x14ac:dyDescent="0.25">
      <c r="A9">
        <v>40054</v>
      </c>
      <c r="B9">
        <v>0.880883992</v>
      </c>
      <c r="C9" t="s">
        <v>14</v>
      </c>
      <c r="D9">
        <v>0.57199999999999995</v>
      </c>
      <c r="E9" t="s">
        <v>11</v>
      </c>
      <c r="F9">
        <v>14.9</v>
      </c>
      <c r="G9">
        <v>0.34269161599999998</v>
      </c>
      <c r="H9">
        <v>1.8667871570000001</v>
      </c>
      <c r="I9">
        <f t="shared" si="0"/>
        <v>5.0278316212369578</v>
      </c>
      <c r="J9">
        <f t="shared" si="1"/>
        <v>0.92297385740885118</v>
      </c>
      <c r="K9">
        <f t="shared" si="2"/>
        <v>-0.22930838399999998</v>
      </c>
      <c r="L9">
        <f t="shared" si="3"/>
        <v>0.35097385740885123</v>
      </c>
    </row>
    <row r="10" spans="1:12" x14ac:dyDescent="0.25">
      <c r="A10">
        <v>39437</v>
      </c>
      <c r="B10">
        <v>3.0293536379999999</v>
      </c>
      <c r="C10" t="s">
        <v>14</v>
      </c>
      <c r="D10">
        <v>2.2610000000000001</v>
      </c>
      <c r="E10" t="s">
        <v>11</v>
      </c>
      <c r="F10">
        <v>14.9</v>
      </c>
      <c r="G10">
        <v>0.57462534300000001</v>
      </c>
      <c r="H10">
        <v>1.9995703250000001</v>
      </c>
      <c r="I10">
        <f t="shared" si="0"/>
        <v>5.3854575071527879</v>
      </c>
      <c r="J10">
        <f t="shared" si="1"/>
        <v>1.5476426753130554</v>
      </c>
      <c r="K10">
        <f t="shared" si="2"/>
        <v>-1.686374657</v>
      </c>
      <c r="L10">
        <f t="shared" si="3"/>
        <v>-0.71335732468694468</v>
      </c>
    </row>
    <row r="11" spans="1:12" x14ac:dyDescent="0.25">
      <c r="A11">
        <v>40123</v>
      </c>
      <c r="B11">
        <v>0.480658953</v>
      </c>
      <c r="C11" t="s">
        <v>14</v>
      </c>
      <c r="D11">
        <v>0.28499999999999998</v>
      </c>
      <c r="E11" t="s">
        <v>12</v>
      </c>
      <c r="F11">
        <v>14.9</v>
      </c>
      <c r="G11">
        <v>0.33279543299999997</v>
      </c>
      <c r="H11">
        <v>1.9348007300000001</v>
      </c>
      <c r="I11">
        <f t="shared" si="0"/>
        <v>5.211013079133985</v>
      </c>
      <c r="J11">
        <f t="shared" si="1"/>
        <v>0.89632039473080916</v>
      </c>
      <c r="K11">
        <f t="shared" si="2"/>
        <v>4.7795432999999998E-2</v>
      </c>
      <c r="L11">
        <f t="shared" si="3"/>
        <v>0.61132039473080924</v>
      </c>
    </row>
    <row r="12" spans="1:12" x14ac:dyDescent="0.25">
      <c r="A12">
        <v>40063</v>
      </c>
      <c r="B12">
        <v>1.032663345</v>
      </c>
      <c r="C12" t="s">
        <v>14</v>
      </c>
      <c r="D12">
        <v>0.49299999999999999</v>
      </c>
      <c r="E12" t="s">
        <v>12</v>
      </c>
      <c r="F12">
        <v>14.9</v>
      </c>
      <c r="G12">
        <v>0.40614768099999998</v>
      </c>
      <c r="H12">
        <v>1.9918635039999999</v>
      </c>
      <c r="I12">
        <f t="shared" si="0"/>
        <v>5.3647006693002686</v>
      </c>
      <c r="J12">
        <f t="shared" si="1"/>
        <v>1.0938805453887428</v>
      </c>
      <c r="K12">
        <f t="shared" si="2"/>
        <v>-8.6852319000000011E-2</v>
      </c>
      <c r="L12">
        <f t="shared" si="3"/>
        <v>0.6008805453887428</v>
      </c>
    </row>
    <row r="13" spans="1:12" x14ac:dyDescent="0.25">
      <c r="A13">
        <v>40072</v>
      </c>
      <c r="B13">
        <v>0.60543577199999998</v>
      </c>
      <c r="C13" t="s">
        <v>14</v>
      </c>
      <c r="D13">
        <v>0.42399999999999999</v>
      </c>
      <c r="E13" t="s">
        <v>12</v>
      </c>
      <c r="F13">
        <v>14.9</v>
      </c>
      <c r="G13">
        <v>0.31172338199999999</v>
      </c>
      <c r="H13">
        <v>1.9536988550000001</v>
      </c>
      <c r="I13">
        <f t="shared" si="0"/>
        <v>5.2619115386079534</v>
      </c>
      <c r="J13">
        <f t="shared" si="1"/>
        <v>0.83956688432398896</v>
      </c>
      <c r="K13">
        <f t="shared" si="2"/>
        <v>-0.11227661799999999</v>
      </c>
      <c r="L13">
        <f t="shared" si="3"/>
        <v>0.41556688432398897</v>
      </c>
    </row>
    <row r="14" spans="1:12" x14ac:dyDescent="0.25">
      <c r="A14">
        <v>40096</v>
      </c>
      <c r="B14">
        <v>0.55251341700000001</v>
      </c>
      <c r="C14" t="s">
        <v>14</v>
      </c>
      <c r="D14">
        <v>0.35599999999999998</v>
      </c>
      <c r="E14" t="s">
        <v>12</v>
      </c>
      <c r="F14">
        <v>14.9</v>
      </c>
      <c r="G14">
        <v>0.32657029300000001</v>
      </c>
      <c r="H14">
        <v>1.8746650499999999</v>
      </c>
      <c r="I14">
        <f t="shared" si="0"/>
        <v>5.0490492085690741</v>
      </c>
      <c r="J14">
        <f t="shared" si="1"/>
        <v>0.87955417924595147</v>
      </c>
      <c r="K14">
        <f t="shared" si="2"/>
        <v>-2.9429706999999972E-2</v>
      </c>
      <c r="L14">
        <f t="shared" si="3"/>
        <v>0.52355417924595149</v>
      </c>
    </row>
    <row r="15" spans="1:12" x14ac:dyDescent="0.25">
      <c r="A15">
        <v>40145</v>
      </c>
      <c r="B15">
        <v>0.34136832499999997</v>
      </c>
      <c r="C15" t="s">
        <v>14</v>
      </c>
      <c r="D15">
        <v>0.216</v>
      </c>
      <c r="E15" t="s">
        <v>12</v>
      </c>
      <c r="F15">
        <v>14.9</v>
      </c>
      <c r="G15">
        <v>0.24679705599999999</v>
      </c>
      <c r="H15">
        <v>1.953574312</v>
      </c>
      <c r="I15">
        <f t="shared" si="0"/>
        <v>5.2615761060272996</v>
      </c>
      <c r="J15">
        <f t="shared" si="1"/>
        <v>0.66470033154668207</v>
      </c>
      <c r="K15">
        <f t="shared" si="2"/>
        <v>3.0797055999999989E-2</v>
      </c>
      <c r="L15">
        <f t="shared" si="3"/>
        <v>0.4487003315466821</v>
      </c>
    </row>
    <row r="16" spans="1:12" x14ac:dyDescent="0.25">
      <c r="A16">
        <v>40060</v>
      </c>
      <c r="B16">
        <v>0.63420014000000002</v>
      </c>
      <c r="C16" t="s">
        <v>14</v>
      </c>
      <c r="D16">
        <v>0.49299999999999999</v>
      </c>
      <c r="E16" t="s">
        <v>12</v>
      </c>
      <c r="F16">
        <v>14.9</v>
      </c>
      <c r="G16">
        <v>0.33399866499999997</v>
      </c>
      <c r="H16">
        <v>1.921652798</v>
      </c>
      <c r="I16">
        <f t="shared" si="0"/>
        <v>5.1756016568860908</v>
      </c>
      <c r="J16">
        <f t="shared" si="1"/>
        <v>0.89956106835265159</v>
      </c>
      <c r="K16">
        <f t="shared" si="2"/>
        <v>-0.15900133500000002</v>
      </c>
      <c r="L16">
        <f t="shared" si="3"/>
        <v>0.4065610683526516</v>
      </c>
    </row>
    <row r="17" spans="1:12" x14ac:dyDescent="0.25">
      <c r="A17">
        <v>40097</v>
      </c>
      <c r="B17">
        <v>0.60782471900000001</v>
      </c>
      <c r="C17" t="s">
        <v>14</v>
      </c>
      <c r="D17">
        <v>0.35599999999999998</v>
      </c>
      <c r="E17" t="s">
        <v>12</v>
      </c>
      <c r="F17">
        <v>14.9</v>
      </c>
      <c r="G17">
        <v>0.27860081399999997</v>
      </c>
      <c r="H17">
        <v>1.878736865</v>
      </c>
      <c r="I17">
        <f t="shared" si="0"/>
        <v>5.060015857946353</v>
      </c>
      <c r="J17">
        <f t="shared" si="1"/>
        <v>0.75035762758440483</v>
      </c>
      <c r="K17">
        <f t="shared" si="2"/>
        <v>-7.7399186000000009E-2</v>
      </c>
      <c r="L17">
        <f t="shared" si="3"/>
        <v>0.39435762758440485</v>
      </c>
    </row>
    <row r="18" spans="1:12" x14ac:dyDescent="0.25">
      <c r="A18">
        <v>40147</v>
      </c>
      <c r="B18">
        <v>0.29406873700000002</v>
      </c>
      <c r="C18" t="s">
        <v>14</v>
      </c>
      <c r="D18">
        <v>0.216</v>
      </c>
      <c r="E18" t="s">
        <v>12</v>
      </c>
      <c r="F18">
        <v>14.9</v>
      </c>
      <c r="G18">
        <v>0.249266082</v>
      </c>
      <c r="H18">
        <v>1.9435869429999999</v>
      </c>
      <c r="I18">
        <f t="shared" si="0"/>
        <v>5.2346770514227785</v>
      </c>
      <c r="J18">
        <f t="shared" si="1"/>
        <v>0.67135017748648695</v>
      </c>
      <c r="K18">
        <f t="shared" si="2"/>
        <v>3.3266082000000002E-2</v>
      </c>
      <c r="L18">
        <f t="shared" si="3"/>
        <v>0.45535017748648698</v>
      </c>
    </row>
    <row r="19" spans="1:12" x14ac:dyDescent="0.25">
      <c r="A19">
        <v>39704</v>
      </c>
      <c r="B19">
        <v>2.685207138</v>
      </c>
      <c r="C19" t="s">
        <v>14</v>
      </c>
      <c r="D19">
        <v>1.7989999999999999</v>
      </c>
      <c r="E19" t="s">
        <v>11</v>
      </c>
      <c r="F19">
        <v>15</v>
      </c>
      <c r="G19">
        <v>0.51417932600000005</v>
      </c>
      <c r="H19">
        <v>1.9845373710000001</v>
      </c>
      <c r="I19">
        <f t="shared" si="0"/>
        <v>5.3449691412464864</v>
      </c>
      <c r="J19">
        <f t="shared" si="1"/>
        <v>1.3848429718166881</v>
      </c>
      <c r="K19">
        <f t="shared" si="2"/>
        <v>-1.2848206739999999</v>
      </c>
      <c r="L19">
        <f t="shared" si="3"/>
        <v>-0.41415702818331179</v>
      </c>
    </row>
    <row r="20" spans="1:12" x14ac:dyDescent="0.25">
      <c r="A20">
        <v>40032</v>
      </c>
      <c r="B20">
        <v>1.180296266</v>
      </c>
      <c r="C20" t="s">
        <v>14</v>
      </c>
      <c r="D20">
        <v>0.80800000000000005</v>
      </c>
      <c r="E20" t="s">
        <v>11</v>
      </c>
      <c r="F20">
        <v>15.6</v>
      </c>
      <c r="G20">
        <v>0.44138657199999998</v>
      </c>
      <c r="H20">
        <v>1.9495321290000001</v>
      </c>
      <c r="I20">
        <f t="shared" si="0"/>
        <v>5.2506892647342154</v>
      </c>
      <c r="J20">
        <f t="shared" si="1"/>
        <v>1.1887897104763416</v>
      </c>
      <c r="K20">
        <f t="shared" si="2"/>
        <v>-0.36661342800000007</v>
      </c>
      <c r="L20">
        <f t="shared" si="3"/>
        <v>0.38078971047634158</v>
      </c>
    </row>
    <row r="21" spans="1:12" x14ac:dyDescent="0.25">
      <c r="A21">
        <v>40039</v>
      </c>
      <c r="B21">
        <v>1.1023153000000001</v>
      </c>
      <c r="C21" t="s">
        <v>14</v>
      </c>
      <c r="D21">
        <v>0.74199999999999999</v>
      </c>
      <c r="E21" t="s">
        <v>11</v>
      </c>
      <c r="F21">
        <v>15.6</v>
      </c>
      <c r="G21">
        <v>0.40804810699999999</v>
      </c>
      <c r="H21">
        <v>1.93187007</v>
      </c>
      <c r="I21">
        <f t="shared" si="0"/>
        <v>5.2031199109365067</v>
      </c>
      <c r="J21">
        <f t="shared" si="1"/>
        <v>1.0989989767539854</v>
      </c>
      <c r="K21">
        <f t="shared" si="2"/>
        <v>-0.333951893</v>
      </c>
      <c r="L21">
        <f t="shared" si="3"/>
        <v>0.3569989767539854</v>
      </c>
    </row>
    <row r="22" spans="1:12" x14ac:dyDescent="0.25">
      <c r="A22">
        <v>39688</v>
      </c>
      <c r="B22">
        <v>2.1078488750000002</v>
      </c>
      <c r="C22" t="s">
        <v>14</v>
      </c>
      <c r="D22">
        <v>1.7929999999999999</v>
      </c>
      <c r="E22" t="s">
        <v>11</v>
      </c>
      <c r="F22">
        <v>15.9</v>
      </c>
      <c r="G22">
        <v>0.48984153899999999</v>
      </c>
      <c r="H22">
        <v>2.0219352929999999</v>
      </c>
      <c r="I22">
        <f t="shared" si="0"/>
        <v>5.4456932404535561</v>
      </c>
      <c r="J22">
        <f t="shared" si="1"/>
        <v>1.3192938305497333</v>
      </c>
      <c r="K22">
        <f t="shared" si="2"/>
        <v>-1.303158461</v>
      </c>
      <c r="L22">
        <f t="shared" si="3"/>
        <v>-0.47370616945026667</v>
      </c>
    </row>
    <row r="23" spans="1:12" x14ac:dyDescent="0.25">
      <c r="A23">
        <v>39755</v>
      </c>
      <c r="B23">
        <v>2.3179145929999998</v>
      </c>
      <c r="C23" t="s">
        <v>14</v>
      </c>
      <c r="D23">
        <v>1.73</v>
      </c>
      <c r="E23" t="s">
        <v>11</v>
      </c>
      <c r="F23">
        <v>15.9</v>
      </c>
      <c r="G23">
        <v>0.53712370899999995</v>
      </c>
      <c r="H23">
        <v>1.9922955259999999</v>
      </c>
      <c r="I23">
        <f t="shared" si="0"/>
        <v>5.3658642373398955</v>
      </c>
      <c r="J23">
        <f t="shared" si="1"/>
        <v>1.4466392478113013</v>
      </c>
      <c r="K23">
        <f t="shared" si="2"/>
        <v>-1.1928762910000001</v>
      </c>
      <c r="L23">
        <f t="shared" si="3"/>
        <v>-0.28336075218869872</v>
      </c>
    </row>
    <row r="24" spans="1:12" x14ac:dyDescent="0.25">
      <c r="A24">
        <v>39365</v>
      </c>
      <c r="B24">
        <v>3.047380735</v>
      </c>
      <c r="C24" t="s">
        <v>14</v>
      </c>
      <c r="D24">
        <v>2.36</v>
      </c>
      <c r="E24" t="s">
        <v>12</v>
      </c>
      <c r="F24">
        <v>16.2</v>
      </c>
      <c r="G24">
        <v>0.68568491600000003</v>
      </c>
      <c r="H24">
        <v>2.0123675950000002</v>
      </c>
      <c r="I24">
        <f t="shared" si="0"/>
        <v>5.419924488849249</v>
      </c>
      <c r="J24">
        <f t="shared" si="1"/>
        <v>1.8467602425604255</v>
      </c>
      <c r="K24">
        <f t="shared" si="2"/>
        <v>-1.6743150839999998</v>
      </c>
      <c r="L24">
        <f t="shared" si="3"/>
        <v>-0.5132397574395744</v>
      </c>
    </row>
    <row r="25" spans="1:12" x14ac:dyDescent="0.25">
      <c r="A25">
        <v>40085</v>
      </c>
      <c r="B25">
        <v>0.62585248500000001</v>
      </c>
      <c r="C25" t="s">
        <v>14</v>
      </c>
      <c r="D25">
        <v>0.38100000000000001</v>
      </c>
      <c r="E25" t="s">
        <v>11</v>
      </c>
      <c r="F25">
        <v>18.600000000000001</v>
      </c>
      <c r="G25">
        <v>0.29697287900000002</v>
      </c>
      <c r="H25">
        <v>1.8947736850000001</v>
      </c>
      <c r="I25">
        <f t="shared" si="0"/>
        <v>5.1032079435559741</v>
      </c>
      <c r="J25">
        <f t="shared" si="1"/>
        <v>0.79983924577962839</v>
      </c>
      <c r="K25">
        <f t="shared" si="2"/>
        <v>-8.4027120999999982E-2</v>
      </c>
      <c r="L25">
        <f t="shared" si="3"/>
        <v>0.41883924577962839</v>
      </c>
    </row>
    <row r="26" spans="1:12" x14ac:dyDescent="0.25">
      <c r="A26">
        <v>40083</v>
      </c>
      <c r="B26">
        <v>0.63628045200000005</v>
      </c>
      <c r="C26" t="s">
        <v>14</v>
      </c>
      <c r="D26">
        <v>0.38100000000000001</v>
      </c>
      <c r="E26" t="s">
        <v>11</v>
      </c>
      <c r="F26">
        <v>18.600000000000001</v>
      </c>
      <c r="G26">
        <v>0.31379791699999998</v>
      </c>
      <c r="H26">
        <v>1.954959044</v>
      </c>
      <c r="I26">
        <f t="shared" si="0"/>
        <v>5.2653056149380673</v>
      </c>
      <c r="J26">
        <f t="shared" si="1"/>
        <v>0.84515424474333367</v>
      </c>
      <c r="K26">
        <f t="shared" si="2"/>
        <v>-6.7202083000000024E-2</v>
      </c>
      <c r="L26">
        <f t="shared" si="3"/>
        <v>0.46415424474333367</v>
      </c>
    </row>
    <row r="27" spans="1:12" x14ac:dyDescent="0.25">
      <c r="A27">
        <v>40141</v>
      </c>
      <c r="B27">
        <v>0.31136205099999997</v>
      </c>
      <c r="C27" t="s">
        <v>14</v>
      </c>
      <c r="D27">
        <v>0.23</v>
      </c>
      <c r="E27" t="s">
        <v>11</v>
      </c>
      <c r="F27">
        <v>18.600000000000001</v>
      </c>
      <c r="G27">
        <v>0.29908462699999999</v>
      </c>
      <c r="H27">
        <v>1.7996779039999999</v>
      </c>
      <c r="I27">
        <f t="shared" si="0"/>
        <v>4.8470857750670975</v>
      </c>
      <c r="J27">
        <f t="shared" si="1"/>
        <v>0.80552683224639332</v>
      </c>
      <c r="K27">
        <f t="shared" si="2"/>
        <v>6.9084626999999982E-2</v>
      </c>
      <c r="L27">
        <f t="shared" si="3"/>
        <v>0.57552683224639334</v>
      </c>
    </row>
    <row r="28" spans="1:12" x14ac:dyDescent="0.25">
      <c r="A28">
        <v>40084</v>
      </c>
      <c r="B28">
        <v>0.48961139100000001</v>
      </c>
      <c r="C28" t="s">
        <v>14</v>
      </c>
      <c r="D28">
        <v>0.38100000000000001</v>
      </c>
      <c r="E28" t="s">
        <v>11</v>
      </c>
      <c r="F28">
        <v>18.600000000000001</v>
      </c>
      <c r="G28">
        <v>0.30932808899999997</v>
      </c>
      <c r="H28">
        <v>1.872328236</v>
      </c>
      <c r="I28">
        <f t="shared" si="0"/>
        <v>5.0427554501841971</v>
      </c>
      <c r="J28">
        <f t="shared" si="1"/>
        <v>0.83311562401701245</v>
      </c>
      <c r="K28">
        <f t="shared" si="2"/>
        <v>-7.1671911000000033E-2</v>
      </c>
      <c r="L28">
        <f t="shared" si="3"/>
        <v>0.45211562401701244</v>
      </c>
    </row>
    <row r="29" spans="1:12" x14ac:dyDescent="0.25">
      <c r="A29">
        <v>40143</v>
      </c>
      <c r="B29">
        <v>0.37886864399999998</v>
      </c>
      <c r="C29" t="s">
        <v>14</v>
      </c>
      <c r="D29">
        <v>0.23</v>
      </c>
      <c r="E29" t="s">
        <v>12</v>
      </c>
      <c r="F29">
        <v>18.600000000000001</v>
      </c>
      <c r="G29">
        <v>0.208936445</v>
      </c>
      <c r="H29">
        <v>1.9852226159999999</v>
      </c>
      <c r="I29">
        <f t="shared" si="0"/>
        <v>5.3468147166600382</v>
      </c>
      <c r="J29">
        <f t="shared" si="1"/>
        <v>0.56273006864265473</v>
      </c>
      <c r="K29">
        <f t="shared" si="2"/>
        <v>-2.1063555000000012E-2</v>
      </c>
      <c r="L29">
        <f t="shared" si="3"/>
        <v>0.33273006864265475</v>
      </c>
    </row>
    <row r="30" spans="1:12" x14ac:dyDescent="0.25">
      <c r="A30">
        <v>40111</v>
      </c>
      <c r="B30">
        <v>0.35348495899999999</v>
      </c>
      <c r="C30" t="s">
        <v>14</v>
      </c>
      <c r="D30">
        <v>0.312</v>
      </c>
      <c r="E30" t="s">
        <v>12</v>
      </c>
      <c r="F30">
        <v>18.600000000000001</v>
      </c>
      <c r="G30">
        <v>0.27846041999999999</v>
      </c>
      <c r="H30">
        <v>1.8917689499999999</v>
      </c>
      <c r="I30">
        <f t="shared" si="0"/>
        <v>5.0951152686145438</v>
      </c>
      <c r="J30">
        <f t="shared" si="1"/>
        <v>0.74997950338851826</v>
      </c>
      <c r="K30">
        <f t="shared" si="2"/>
        <v>-3.3539580000000013E-2</v>
      </c>
      <c r="L30">
        <f t="shared" si="3"/>
        <v>0.43797950338851827</v>
      </c>
    </row>
    <row r="31" spans="1:12" x14ac:dyDescent="0.25">
      <c r="A31">
        <v>40113</v>
      </c>
      <c r="B31">
        <v>0.58339932100000003</v>
      </c>
      <c r="C31" t="s">
        <v>14</v>
      </c>
      <c r="D31">
        <v>0.312</v>
      </c>
      <c r="E31" t="s">
        <v>12</v>
      </c>
      <c r="F31">
        <v>18.600000000000001</v>
      </c>
      <c r="G31">
        <v>0.29566353400000001</v>
      </c>
      <c r="H31">
        <v>1.901481513</v>
      </c>
      <c r="I31">
        <f t="shared" si="0"/>
        <v>5.1212741861920215</v>
      </c>
      <c r="J31">
        <f t="shared" si="1"/>
        <v>0.79631277723209037</v>
      </c>
      <c r="K31">
        <f t="shared" si="2"/>
        <v>-1.6336465999999994E-2</v>
      </c>
      <c r="L31">
        <f t="shared" si="3"/>
        <v>0.48431277723209037</v>
      </c>
    </row>
    <row r="32" spans="1:12" x14ac:dyDescent="0.25">
      <c r="A32">
        <v>39960</v>
      </c>
      <c r="B32">
        <v>1.577302803</v>
      </c>
      <c r="C32" t="s">
        <v>14</v>
      </c>
      <c r="D32">
        <v>1.2569999999999999</v>
      </c>
      <c r="E32" t="s">
        <v>11</v>
      </c>
      <c r="F32">
        <v>18.7</v>
      </c>
      <c r="G32">
        <v>0.42611064500000001</v>
      </c>
      <c r="H32">
        <v>1.963094079</v>
      </c>
      <c r="I32">
        <f t="shared" si="0"/>
        <v>5.2872157647157207</v>
      </c>
      <c r="J32">
        <f t="shared" si="1"/>
        <v>1.1476469435967283</v>
      </c>
      <c r="K32">
        <f t="shared" si="2"/>
        <v>-0.83088935499999983</v>
      </c>
      <c r="L32">
        <f t="shared" si="3"/>
        <v>-0.10935305640327164</v>
      </c>
    </row>
    <row r="33" spans="1:12" x14ac:dyDescent="0.25">
      <c r="A33">
        <v>39646</v>
      </c>
      <c r="B33">
        <v>2.161093572</v>
      </c>
      <c r="C33" t="s">
        <v>14</v>
      </c>
      <c r="D33">
        <v>1.8540000000000001</v>
      </c>
      <c r="E33" t="s">
        <v>11</v>
      </c>
      <c r="F33">
        <v>18.7</v>
      </c>
      <c r="G33">
        <v>0.32289952599999999</v>
      </c>
      <c r="H33">
        <v>2.1794655390000002</v>
      </c>
      <c r="I33">
        <f t="shared" si="0"/>
        <v>5.8699706141059815</v>
      </c>
      <c r="J33">
        <f t="shared" si="1"/>
        <v>0.8696676754056033</v>
      </c>
      <c r="K33">
        <f t="shared" si="2"/>
        <v>-1.531100474</v>
      </c>
      <c r="L33">
        <f t="shared" si="3"/>
        <v>-0.98433232459439679</v>
      </c>
    </row>
    <row r="34" spans="1:12" x14ac:dyDescent="0.25">
      <c r="A34">
        <v>39892</v>
      </c>
      <c r="B34">
        <v>1.9479495959999999</v>
      </c>
      <c r="C34" t="s">
        <v>14</v>
      </c>
      <c r="D34">
        <v>1.4810000000000001</v>
      </c>
      <c r="E34" t="s">
        <v>11</v>
      </c>
      <c r="F34">
        <v>18.7</v>
      </c>
      <c r="G34">
        <v>0.46180591500000001</v>
      </c>
      <c r="H34">
        <v>1.9205861930000001</v>
      </c>
      <c r="I34">
        <f t="shared" si="0"/>
        <v>5.172728961771246</v>
      </c>
      <c r="J34">
        <f t="shared" si="1"/>
        <v>1.2437852776117351</v>
      </c>
      <c r="K34">
        <f t="shared" si="2"/>
        <v>-1.0191940850000001</v>
      </c>
      <c r="L34">
        <f t="shared" si="3"/>
        <v>-0.23721472238826502</v>
      </c>
    </row>
    <row r="35" spans="1:12" x14ac:dyDescent="0.25">
      <c r="A35">
        <v>39895</v>
      </c>
      <c r="B35">
        <v>2.0979430020000001</v>
      </c>
      <c r="C35" t="s">
        <v>14</v>
      </c>
      <c r="D35">
        <v>1.4810000000000001</v>
      </c>
      <c r="E35" t="s">
        <v>12</v>
      </c>
      <c r="F35">
        <v>18.7</v>
      </c>
      <c r="G35">
        <v>0.53625266599999999</v>
      </c>
      <c r="H35">
        <v>1.9892631569999999</v>
      </c>
      <c r="I35">
        <f t="shared" si="0"/>
        <v>5.3576971355424092</v>
      </c>
      <c r="J35">
        <f t="shared" si="1"/>
        <v>1.4442932612737172</v>
      </c>
      <c r="K35">
        <f t="shared" si="2"/>
        <v>-0.94474733400000011</v>
      </c>
      <c r="L35">
        <f t="shared" si="3"/>
        <v>-3.6706738726282939E-2</v>
      </c>
    </row>
    <row r="36" spans="1:12" x14ac:dyDescent="0.25">
      <c r="A36">
        <v>39894</v>
      </c>
      <c r="B36">
        <v>1.963532898</v>
      </c>
      <c r="C36" t="s">
        <v>14</v>
      </c>
      <c r="D36">
        <v>1.4810000000000001</v>
      </c>
      <c r="E36" t="s">
        <v>12</v>
      </c>
      <c r="F36">
        <v>18.7</v>
      </c>
      <c r="G36">
        <v>0.50110781699999996</v>
      </c>
      <c r="H36">
        <v>2.0090793589999998</v>
      </c>
      <c r="I36">
        <f t="shared" si="0"/>
        <v>5.4110682585731311</v>
      </c>
      <c r="J36">
        <f t="shared" si="1"/>
        <v>1.3496373801984658</v>
      </c>
      <c r="K36">
        <f t="shared" si="2"/>
        <v>-0.97989218300000014</v>
      </c>
      <c r="L36">
        <f t="shared" si="3"/>
        <v>-0.1313626198015343</v>
      </c>
    </row>
    <row r="37" spans="1:12" x14ac:dyDescent="0.25">
      <c r="A37">
        <v>40194</v>
      </c>
      <c r="B37">
        <v>7.1399952000000003E-2</v>
      </c>
      <c r="C37" t="s">
        <v>14</v>
      </c>
      <c r="D37">
        <v>0.114989733</v>
      </c>
      <c r="E37" t="s">
        <v>11</v>
      </c>
      <c r="F37">
        <v>18.899999999999999</v>
      </c>
      <c r="G37">
        <v>0.18794588800000001</v>
      </c>
      <c r="H37">
        <v>1.8944166220000001</v>
      </c>
      <c r="I37">
        <f t="shared" si="0"/>
        <v>5.1022462631440204</v>
      </c>
      <c r="J37">
        <f t="shared" si="1"/>
        <v>0.50619604662721585</v>
      </c>
      <c r="K37">
        <f t="shared" si="2"/>
        <v>7.2956155000000009E-2</v>
      </c>
      <c r="L37">
        <f t="shared" si="3"/>
        <v>0.39120631362721586</v>
      </c>
    </row>
    <row r="38" spans="1:12" x14ac:dyDescent="0.25">
      <c r="A38">
        <v>40129</v>
      </c>
      <c r="B38">
        <v>0.34654844400000001</v>
      </c>
      <c r="C38" t="s">
        <v>14</v>
      </c>
      <c r="D38">
        <v>0.28499999999999998</v>
      </c>
      <c r="E38" t="s">
        <v>11</v>
      </c>
      <c r="F38">
        <v>18.899999999999999</v>
      </c>
      <c r="G38">
        <v>0.25778344199999997</v>
      </c>
      <c r="H38">
        <v>1.912696663</v>
      </c>
      <c r="I38">
        <f t="shared" si="0"/>
        <v>5.1514800324211825</v>
      </c>
      <c r="J38">
        <f t="shared" si="1"/>
        <v>0.69429004600705158</v>
      </c>
      <c r="K38">
        <f t="shared" si="2"/>
        <v>-2.7216558000000002E-2</v>
      </c>
      <c r="L38">
        <f t="shared" si="3"/>
        <v>0.4092900460070516</v>
      </c>
    </row>
    <row r="39" spans="1:12" x14ac:dyDescent="0.25">
      <c r="A39">
        <v>40155</v>
      </c>
      <c r="B39">
        <v>0.23949406400000001</v>
      </c>
      <c r="C39" t="s">
        <v>14</v>
      </c>
      <c r="D39">
        <v>0.20300000000000001</v>
      </c>
      <c r="E39" t="s">
        <v>12</v>
      </c>
      <c r="F39">
        <v>18.899999999999999</v>
      </c>
      <c r="G39">
        <v>0.245312065</v>
      </c>
      <c r="H39">
        <v>1.9582022429999999</v>
      </c>
      <c r="I39">
        <f t="shared" si="0"/>
        <v>5.2740405467298466</v>
      </c>
      <c r="J39">
        <f t="shared" si="1"/>
        <v>0.66070079433160345</v>
      </c>
      <c r="K39">
        <f t="shared" si="2"/>
        <v>4.2312064999999982E-2</v>
      </c>
      <c r="L39">
        <f t="shared" si="3"/>
        <v>0.45770079433160343</v>
      </c>
    </row>
    <row r="40" spans="1:12" x14ac:dyDescent="0.25">
      <c r="A40">
        <v>40099</v>
      </c>
      <c r="B40">
        <v>0.73051844099999996</v>
      </c>
      <c r="C40" t="s">
        <v>14</v>
      </c>
      <c r="D40">
        <v>0.35599999999999998</v>
      </c>
      <c r="E40" t="s">
        <v>12</v>
      </c>
      <c r="F40">
        <v>18.899999999999999</v>
      </c>
      <c r="G40">
        <v>0.26548775200000002</v>
      </c>
      <c r="H40">
        <v>2.082898771</v>
      </c>
      <c r="I40">
        <f t="shared" si="0"/>
        <v>5.6098866254785333</v>
      </c>
      <c r="J40">
        <f t="shared" si="1"/>
        <v>0.71504012096474656</v>
      </c>
      <c r="K40">
        <f t="shared" si="2"/>
        <v>-9.0512247999999962E-2</v>
      </c>
      <c r="L40">
        <f t="shared" si="3"/>
        <v>0.35904012096474658</v>
      </c>
    </row>
    <row r="41" spans="1:12" x14ac:dyDescent="0.25">
      <c r="A41">
        <v>40126</v>
      </c>
      <c r="B41">
        <v>0.44815711200000002</v>
      </c>
      <c r="C41" t="s">
        <v>14</v>
      </c>
      <c r="D41">
        <v>0.28499999999999998</v>
      </c>
      <c r="E41" t="s">
        <v>12</v>
      </c>
      <c r="F41">
        <v>18.899999999999999</v>
      </c>
      <c r="G41">
        <v>0.31202508299999998</v>
      </c>
      <c r="H41">
        <v>1.9181056940000001</v>
      </c>
      <c r="I41">
        <f t="shared" si="0"/>
        <v>5.1660482155159047</v>
      </c>
      <c r="J41">
        <f t="shared" si="1"/>
        <v>0.84037945785293722</v>
      </c>
      <c r="K41">
        <f t="shared" si="2"/>
        <v>2.7025083000000005E-2</v>
      </c>
      <c r="L41">
        <f t="shared" si="3"/>
        <v>0.55537945785293719</v>
      </c>
    </row>
    <row r="42" spans="1:12" x14ac:dyDescent="0.25">
      <c r="A42">
        <v>40125</v>
      </c>
      <c r="B42">
        <v>0.44634077</v>
      </c>
      <c r="C42" t="s">
        <v>14</v>
      </c>
      <c r="D42">
        <v>0.28499999999999998</v>
      </c>
      <c r="E42" t="s">
        <v>12</v>
      </c>
      <c r="F42">
        <v>18.899999999999999</v>
      </c>
      <c r="G42">
        <v>0.27933838100000002</v>
      </c>
      <c r="H42">
        <v>1.959231639</v>
      </c>
      <c r="I42">
        <f t="shared" si="0"/>
        <v>5.2768130265705011</v>
      </c>
      <c r="J42">
        <f t="shared" si="1"/>
        <v>0.75234412222653668</v>
      </c>
      <c r="K42">
        <f t="shared" si="2"/>
        <v>-5.6616189999999511E-3</v>
      </c>
      <c r="L42">
        <f t="shared" si="3"/>
        <v>0.46734412222653671</v>
      </c>
    </row>
    <row r="43" spans="1:12" x14ac:dyDescent="0.25">
      <c r="A43">
        <v>40098</v>
      </c>
      <c r="B43">
        <v>0.56957041200000003</v>
      </c>
      <c r="C43" t="s">
        <v>14</v>
      </c>
      <c r="D43">
        <v>0.35599999999999998</v>
      </c>
      <c r="E43" t="s">
        <v>12</v>
      </c>
      <c r="F43">
        <v>18.899999999999999</v>
      </c>
      <c r="G43">
        <v>0.31352524500000001</v>
      </c>
      <c r="H43">
        <v>1.8822637090000001</v>
      </c>
      <c r="I43">
        <f t="shared" si="0"/>
        <v>5.0695147329090817</v>
      </c>
      <c r="J43">
        <f t="shared" si="1"/>
        <v>0.84441985523423235</v>
      </c>
      <c r="K43">
        <f t="shared" si="2"/>
        <v>-4.2474754999999975E-2</v>
      </c>
      <c r="L43">
        <f t="shared" si="3"/>
        <v>0.48841985523423237</v>
      </c>
    </row>
    <row r="44" spans="1:12" x14ac:dyDescent="0.25">
      <c r="A44">
        <v>40127</v>
      </c>
      <c r="B44">
        <v>0.44607078999999999</v>
      </c>
      <c r="C44" t="s">
        <v>14</v>
      </c>
      <c r="D44">
        <v>0.28499999999999998</v>
      </c>
      <c r="E44" t="s">
        <v>12</v>
      </c>
      <c r="F44">
        <v>18.899999999999999</v>
      </c>
      <c r="G44">
        <v>0.29222737599999998</v>
      </c>
      <c r="H44">
        <v>1.9638391449999999</v>
      </c>
      <c r="I44">
        <f t="shared" si="0"/>
        <v>5.2892224564698722</v>
      </c>
      <c r="J44">
        <f t="shared" si="1"/>
        <v>0.78705814754215275</v>
      </c>
      <c r="K44">
        <f t="shared" si="2"/>
        <v>7.2273760000000076E-3</v>
      </c>
      <c r="L44">
        <f t="shared" si="3"/>
        <v>0.50205814754215283</v>
      </c>
    </row>
    <row r="45" spans="1:12" x14ac:dyDescent="0.25">
      <c r="A45">
        <v>40081</v>
      </c>
      <c r="B45">
        <v>0.74212549900000002</v>
      </c>
      <c r="C45" t="s">
        <v>14</v>
      </c>
      <c r="D45">
        <v>0.38600000000000001</v>
      </c>
      <c r="E45" t="s">
        <v>12</v>
      </c>
      <c r="F45">
        <v>18.899999999999999</v>
      </c>
      <c r="G45">
        <v>0.35333608</v>
      </c>
      <c r="H45">
        <v>1.9385623320000001</v>
      </c>
      <c r="I45">
        <f t="shared" si="0"/>
        <v>5.2211442295499237</v>
      </c>
      <c r="J45">
        <f t="shared" si="1"/>
        <v>0.95164267082426213</v>
      </c>
      <c r="K45">
        <f t="shared" si="2"/>
        <v>-3.2663920000000013E-2</v>
      </c>
      <c r="L45">
        <f t="shared" si="3"/>
        <v>0.56564267082426212</v>
      </c>
    </row>
    <row r="46" spans="1:12" x14ac:dyDescent="0.25">
      <c r="A46">
        <v>40130</v>
      </c>
      <c r="B46">
        <v>0.36293180600000002</v>
      </c>
      <c r="C46" t="s">
        <v>14</v>
      </c>
      <c r="D46">
        <v>0.252</v>
      </c>
      <c r="E46" t="s">
        <v>12</v>
      </c>
      <c r="F46">
        <v>18.899999999999999</v>
      </c>
      <c r="G46">
        <v>0.28720746600000002</v>
      </c>
      <c r="H46">
        <v>1.9177995050000001</v>
      </c>
      <c r="I46">
        <f t="shared" si="0"/>
        <v>5.1652235544234486</v>
      </c>
      <c r="J46">
        <f t="shared" si="1"/>
        <v>0.77353798690727671</v>
      </c>
      <c r="K46">
        <f t="shared" si="2"/>
        <v>3.5207466000000021E-2</v>
      </c>
      <c r="L46">
        <f t="shared" si="3"/>
        <v>0.52153798690727671</v>
      </c>
    </row>
    <row r="47" spans="1:12" x14ac:dyDescent="0.25">
      <c r="A47">
        <v>40152</v>
      </c>
      <c r="B47">
        <v>0.36309496099999999</v>
      </c>
      <c r="C47" t="s">
        <v>14</v>
      </c>
      <c r="D47">
        <v>0.20300000000000001</v>
      </c>
      <c r="E47" t="s">
        <v>12</v>
      </c>
      <c r="F47">
        <v>18.899999999999999</v>
      </c>
      <c r="G47">
        <v>0.27993248500000001</v>
      </c>
      <c r="H47">
        <v>2.0238879679999999</v>
      </c>
      <c r="I47">
        <f t="shared" si="0"/>
        <v>5.4509523944359399</v>
      </c>
      <c r="J47">
        <f t="shared" si="1"/>
        <v>0.75394422691244189</v>
      </c>
      <c r="K47">
        <f t="shared" si="2"/>
        <v>7.6932484999999995E-2</v>
      </c>
      <c r="L47">
        <f t="shared" si="3"/>
        <v>0.55094422691244183</v>
      </c>
    </row>
    <row r="48" spans="1:12" x14ac:dyDescent="0.25">
      <c r="A48">
        <v>40066</v>
      </c>
      <c r="B48">
        <v>0.731603424</v>
      </c>
      <c r="C48" t="s">
        <v>14</v>
      </c>
      <c r="D48">
        <v>0.47399999999999998</v>
      </c>
      <c r="E48" t="s">
        <v>11</v>
      </c>
      <c r="F48">
        <v>19.3</v>
      </c>
      <c r="G48">
        <v>0.30081087000000001</v>
      </c>
      <c r="H48">
        <v>1.9813420289999999</v>
      </c>
      <c r="I48">
        <f t="shared" si="0"/>
        <v>5.3363631030658478</v>
      </c>
      <c r="J48">
        <f t="shared" si="1"/>
        <v>0.81017613525278798</v>
      </c>
      <c r="K48">
        <f t="shared" si="2"/>
        <v>-0.17318912999999997</v>
      </c>
      <c r="L48">
        <f t="shared" si="3"/>
        <v>0.336176135252788</v>
      </c>
    </row>
    <row r="49" spans="1:12" x14ac:dyDescent="0.25">
      <c r="A49">
        <v>40067</v>
      </c>
      <c r="B49">
        <v>0.59315666300000003</v>
      </c>
      <c r="C49" t="s">
        <v>14</v>
      </c>
      <c r="D49">
        <v>0.47399999999999998</v>
      </c>
      <c r="E49" t="s">
        <v>11</v>
      </c>
      <c r="F49">
        <v>19.3</v>
      </c>
      <c r="G49">
        <v>0.29263042900000003</v>
      </c>
      <c r="H49">
        <v>1.98553457</v>
      </c>
      <c r="I49">
        <f t="shared" si="0"/>
        <v>5.3476549046695228</v>
      </c>
      <c r="J49">
        <f t="shared" si="1"/>
        <v>0.7881436931603748</v>
      </c>
      <c r="K49">
        <f t="shared" si="2"/>
        <v>-0.18136957099999995</v>
      </c>
      <c r="L49">
        <f t="shared" si="3"/>
        <v>0.31414369316037483</v>
      </c>
    </row>
    <row r="50" spans="1:12" x14ac:dyDescent="0.25">
      <c r="A50">
        <v>40056</v>
      </c>
      <c r="B50">
        <v>0.69162079799999998</v>
      </c>
      <c r="C50" t="s">
        <v>14</v>
      </c>
      <c r="D50">
        <v>0.53900000000000003</v>
      </c>
      <c r="E50" t="s">
        <v>11</v>
      </c>
      <c r="F50">
        <v>19.3</v>
      </c>
      <c r="G50">
        <v>0.31054547700000001</v>
      </c>
      <c r="H50">
        <v>1.9899053769999999</v>
      </c>
      <c r="I50">
        <f t="shared" si="0"/>
        <v>5.3594268314060658</v>
      </c>
      <c r="J50">
        <f t="shared" si="1"/>
        <v>0.83639442409808384</v>
      </c>
      <c r="K50">
        <f t="shared" si="2"/>
        <v>-0.22845452300000002</v>
      </c>
      <c r="L50">
        <f t="shared" si="3"/>
        <v>0.29739442409808381</v>
      </c>
    </row>
    <row r="51" spans="1:12" x14ac:dyDescent="0.25">
      <c r="A51">
        <v>40058</v>
      </c>
      <c r="B51">
        <v>0.70412466399999996</v>
      </c>
      <c r="C51" t="s">
        <v>14</v>
      </c>
      <c r="D51">
        <v>0.53900000000000003</v>
      </c>
      <c r="E51" t="s">
        <v>12</v>
      </c>
      <c r="F51">
        <v>19.3</v>
      </c>
      <c r="G51">
        <v>0.30778099799999997</v>
      </c>
      <c r="H51">
        <v>1.9645526740000001</v>
      </c>
      <c r="I51">
        <f t="shared" si="0"/>
        <v>5.2911442093892767</v>
      </c>
      <c r="J51">
        <f t="shared" si="1"/>
        <v>0.82894883241382222</v>
      </c>
      <c r="K51">
        <f t="shared" si="2"/>
        <v>-0.23121900200000006</v>
      </c>
      <c r="L51">
        <f t="shared" si="3"/>
        <v>0.28994883241382219</v>
      </c>
    </row>
    <row r="52" spans="1:12" x14ac:dyDescent="0.25">
      <c r="A52">
        <v>39707</v>
      </c>
      <c r="B52">
        <v>2.3159141640000001</v>
      </c>
      <c r="C52" t="s">
        <v>14</v>
      </c>
      <c r="D52">
        <v>1.7689999999999999</v>
      </c>
      <c r="E52" t="s">
        <v>12</v>
      </c>
      <c r="F52">
        <v>19.600000000000001</v>
      </c>
      <c r="G52">
        <v>0.62949089300000005</v>
      </c>
      <c r="H52">
        <v>1.990656596</v>
      </c>
      <c r="I52">
        <f t="shared" si="0"/>
        <v>5.3614500950805084</v>
      </c>
      <c r="J52">
        <f t="shared" si="1"/>
        <v>1.6954124658712177</v>
      </c>
      <c r="K52">
        <f t="shared" si="2"/>
        <v>-1.1395091069999999</v>
      </c>
      <c r="L52">
        <f t="shared" si="3"/>
        <v>-7.3587534128782162E-2</v>
      </c>
    </row>
    <row r="53" spans="1:12" x14ac:dyDescent="0.25">
      <c r="A53">
        <v>39768</v>
      </c>
      <c r="B53">
        <v>2.17212534</v>
      </c>
      <c r="C53" t="s">
        <v>14</v>
      </c>
      <c r="D53">
        <v>1.7030000000000001</v>
      </c>
      <c r="E53" t="s">
        <v>12</v>
      </c>
      <c r="F53">
        <v>19.600000000000001</v>
      </c>
      <c r="G53">
        <v>0.48195081200000001</v>
      </c>
      <c r="H53">
        <v>2.0073981239999998</v>
      </c>
      <c r="I53">
        <f t="shared" si="0"/>
        <v>5.4065401759451603</v>
      </c>
      <c r="J53">
        <f t="shared" si="1"/>
        <v>1.2980416773107402</v>
      </c>
      <c r="K53">
        <f t="shared" si="2"/>
        <v>-1.2210491880000001</v>
      </c>
      <c r="L53">
        <f t="shared" si="3"/>
        <v>-0.40495832268925991</v>
      </c>
    </row>
    <row r="54" spans="1:12" x14ac:dyDescent="0.25">
      <c r="A54">
        <v>39770</v>
      </c>
      <c r="B54">
        <v>2.1391848590000002</v>
      </c>
      <c r="C54" t="s">
        <v>14</v>
      </c>
      <c r="D54">
        <v>1.7030000000000001</v>
      </c>
      <c r="E54" t="s">
        <v>12</v>
      </c>
      <c r="F54">
        <v>19.600000000000001</v>
      </c>
      <c r="G54">
        <v>0.55614972600000001</v>
      </c>
      <c r="H54">
        <v>1.961575794</v>
      </c>
      <c r="I54">
        <f t="shared" si="0"/>
        <v>5.2831265565248327</v>
      </c>
      <c r="J54">
        <f t="shared" si="1"/>
        <v>1.4978821597523286</v>
      </c>
      <c r="K54">
        <f t="shared" si="2"/>
        <v>-1.1468502740000002</v>
      </c>
      <c r="L54">
        <f t="shared" si="3"/>
        <v>-0.20511784024767143</v>
      </c>
    </row>
    <row r="55" spans="1:12" x14ac:dyDescent="0.25">
      <c r="A55">
        <v>39769</v>
      </c>
      <c r="B55">
        <v>2.3202289760000001</v>
      </c>
      <c r="C55" t="s">
        <v>14</v>
      </c>
      <c r="D55">
        <v>1.7030000000000001</v>
      </c>
      <c r="E55" t="s">
        <v>12</v>
      </c>
      <c r="F55">
        <v>19.600000000000001</v>
      </c>
      <c r="G55">
        <v>0.53357385099999999</v>
      </c>
      <c r="H55">
        <v>2.0028105649999999</v>
      </c>
      <c r="I55">
        <f t="shared" si="0"/>
        <v>5.3941844694480379</v>
      </c>
      <c r="J55">
        <f t="shared" si="1"/>
        <v>1.4370783890725989</v>
      </c>
      <c r="K55">
        <f t="shared" si="2"/>
        <v>-1.169426149</v>
      </c>
      <c r="L55">
        <f t="shared" si="3"/>
        <v>-0.26592161092740119</v>
      </c>
    </row>
    <row r="56" spans="1:12" x14ac:dyDescent="0.25">
      <c r="A56">
        <v>39644</v>
      </c>
      <c r="B56">
        <v>2.272166769</v>
      </c>
      <c r="C56" t="s">
        <v>14</v>
      </c>
      <c r="D56">
        <v>1.8620000000000001</v>
      </c>
      <c r="E56" t="s">
        <v>11</v>
      </c>
      <c r="F56">
        <v>20</v>
      </c>
      <c r="G56">
        <v>0.54828208599999995</v>
      </c>
      <c r="H56">
        <v>2.049916139</v>
      </c>
      <c r="I56">
        <f t="shared" si="0"/>
        <v>5.5210542594000573</v>
      </c>
      <c r="J56">
        <f t="shared" si="1"/>
        <v>1.4766921869007483</v>
      </c>
      <c r="K56">
        <f t="shared" si="2"/>
        <v>-1.3137179140000002</v>
      </c>
      <c r="L56">
        <f t="shared" si="3"/>
        <v>-0.38530781309925177</v>
      </c>
    </row>
    <row r="57" spans="1:12" x14ac:dyDescent="0.25">
      <c r="A57">
        <v>39643</v>
      </c>
      <c r="B57">
        <v>2.25284219</v>
      </c>
      <c r="C57" t="s">
        <v>14</v>
      </c>
      <c r="D57">
        <v>1.8620000000000001</v>
      </c>
      <c r="E57" t="s">
        <v>11</v>
      </c>
      <c r="F57">
        <v>20</v>
      </c>
      <c r="G57">
        <v>0.61418388300000004</v>
      </c>
      <c r="H57">
        <v>1.943182287</v>
      </c>
      <c r="I57">
        <f t="shared" si="0"/>
        <v>5.2335871884328311</v>
      </c>
      <c r="J57">
        <f t="shared" si="1"/>
        <v>1.6541859829184049</v>
      </c>
      <c r="K57">
        <f t="shared" si="2"/>
        <v>-1.2478161170000002</v>
      </c>
      <c r="L57">
        <f t="shared" si="3"/>
        <v>-0.20781401708159519</v>
      </c>
    </row>
    <row r="58" spans="1:12" x14ac:dyDescent="0.25">
      <c r="A58">
        <v>39727</v>
      </c>
      <c r="B58">
        <v>2.437857427</v>
      </c>
      <c r="C58" t="s">
        <v>14</v>
      </c>
      <c r="D58">
        <v>1.744</v>
      </c>
      <c r="E58" t="s">
        <v>11</v>
      </c>
      <c r="F58">
        <v>20.6</v>
      </c>
      <c r="G58">
        <v>0.53999090699999996</v>
      </c>
      <c r="H58">
        <v>1.9944507920000001</v>
      </c>
      <c r="I58">
        <f t="shared" si="0"/>
        <v>5.3716690311570927</v>
      </c>
      <c r="J58">
        <f t="shared" si="1"/>
        <v>1.4543614933360209</v>
      </c>
      <c r="K58">
        <f t="shared" si="2"/>
        <v>-1.204009093</v>
      </c>
      <c r="L58">
        <f t="shared" si="3"/>
        <v>-0.28963850666397906</v>
      </c>
    </row>
    <row r="59" spans="1:12" x14ac:dyDescent="0.25">
      <c r="A59">
        <v>39692</v>
      </c>
      <c r="B59">
        <v>2.1316670630000001</v>
      </c>
      <c r="C59" t="s">
        <v>14</v>
      </c>
      <c r="D59">
        <v>1.8069999999999999</v>
      </c>
      <c r="E59" t="s">
        <v>11</v>
      </c>
      <c r="F59">
        <v>20.6</v>
      </c>
      <c r="G59">
        <v>0.45245259300000001</v>
      </c>
      <c r="H59">
        <v>2.028678035</v>
      </c>
      <c r="I59">
        <f t="shared" si="0"/>
        <v>5.463853517223364</v>
      </c>
      <c r="J59">
        <f t="shared" si="1"/>
        <v>1.2185939064696787</v>
      </c>
      <c r="K59">
        <f t="shared" si="2"/>
        <v>-1.3545474069999999</v>
      </c>
      <c r="L59">
        <f t="shared" si="3"/>
        <v>-0.58840609353032125</v>
      </c>
    </row>
    <row r="60" spans="1:12" x14ac:dyDescent="0.25">
      <c r="A60">
        <v>40150</v>
      </c>
      <c r="B60">
        <v>0.30169253400000001</v>
      </c>
      <c r="C60" t="s">
        <v>14</v>
      </c>
      <c r="D60">
        <v>0.216</v>
      </c>
      <c r="E60" t="s">
        <v>12</v>
      </c>
      <c r="F60">
        <v>20.8</v>
      </c>
      <c r="G60">
        <v>0.221637266</v>
      </c>
      <c r="H60">
        <v>1.9621941000000001</v>
      </c>
      <c r="I60">
        <f t="shared" si="0"/>
        <v>5.2847918446358761</v>
      </c>
      <c r="J60">
        <f t="shared" si="1"/>
        <v>0.59693728353591125</v>
      </c>
      <c r="K60">
        <f t="shared" si="2"/>
        <v>5.6372660000000019E-3</v>
      </c>
      <c r="L60">
        <f t="shared" si="3"/>
        <v>0.38093728353591128</v>
      </c>
    </row>
    <row r="61" spans="1:12" x14ac:dyDescent="0.25">
      <c r="A61">
        <v>40102</v>
      </c>
      <c r="B61">
        <v>0.50120240100000002</v>
      </c>
      <c r="C61" t="s">
        <v>14</v>
      </c>
      <c r="D61">
        <v>0.32900000000000001</v>
      </c>
      <c r="E61" t="s">
        <v>12</v>
      </c>
      <c r="F61">
        <v>20.8</v>
      </c>
      <c r="G61">
        <v>0.297985624</v>
      </c>
      <c r="H61">
        <v>1.9083860450000001</v>
      </c>
      <c r="I61">
        <f t="shared" si="0"/>
        <v>5.1398702131623546</v>
      </c>
      <c r="J61">
        <f t="shared" si="1"/>
        <v>0.80256687935914828</v>
      </c>
      <c r="K61">
        <f t="shared" si="2"/>
        <v>-3.101437600000001E-2</v>
      </c>
      <c r="L61">
        <f t="shared" si="3"/>
        <v>0.47356687935914826</v>
      </c>
    </row>
    <row r="62" spans="1:12" x14ac:dyDescent="0.25">
      <c r="A62">
        <v>40138</v>
      </c>
      <c r="B62">
        <v>0.37584862699999999</v>
      </c>
      <c r="C62" t="s">
        <v>14</v>
      </c>
      <c r="D62">
        <v>0.23300000000000001</v>
      </c>
      <c r="E62" t="s">
        <v>11</v>
      </c>
      <c r="F62">
        <v>21.5</v>
      </c>
      <c r="G62">
        <v>0.26262187100000001</v>
      </c>
      <c r="H62">
        <v>1.916208234</v>
      </c>
      <c r="I62">
        <f t="shared" si="0"/>
        <v>5.1609377725003425</v>
      </c>
      <c r="J62">
        <f t="shared" si="1"/>
        <v>0.7073214225258424</v>
      </c>
      <c r="K62">
        <f t="shared" si="2"/>
        <v>2.9621870999999994E-2</v>
      </c>
      <c r="L62">
        <f t="shared" si="3"/>
        <v>0.47432142252584242</v>
      </c>
    </row>
    <row r="63" spans="1:12" x14ac:dyDescent="0.25">
      <c r="A63">
        <v>40136</v>
      </c>
      <c r="B63">
        <v>0.40279674199999999</v>
      </c>
      <c r="C63" t="s">
        <v>14</v>
      </c>
      <c r="D63">
        <v>0.23300000000000001</v>
      </c>
      <c r="E63" t="s">
        <v>12</v>
      </c>
      <c r="F63">
        <v>21.5</v>
      </c>
      <c r="G63">
        <v>0.27733607399999999</v>
      </c>
      <c r="H63">
        <v>1.943829461</v>
      </c>
      <c r="I63">
        <f t="shared" si="0"/>
        <v>5.2353302269412341</v>
      </c>
      <c r="J63">
        <f t="shared" si="1"/>
        <v>0.74695129401241789</v>
      </c>
      <c r="K63">
        <f t="shared" si="2"/>
        <v>4.4336073999999975E-2</v>
      </c>
      <c r="L63">
        <f t="shared" si="3"/>
        <v>0.5139512940124179</v>
      </c>
    </row>
    <row r="64" spans="1:12" x14ac:dyDescent="0.25">
      <c r="A64">
        <v>40108</v>
      </c>
      <c r="B64">
        <v>0.57177258500000006</v>
      </c>
      <c r="C64" t="s">
        <v>14</v>
      </c>
      <c r="D64">
        <v>0.312</v>
      </c>
      <c r="E64" t="s">
        <v>12</v>
      </c>
      <c r="F64">
        <v>21.5</v>
      </c>
      <c r="G64">
        <v>0.31689904600000002</v>
      </c>
      <c r="H64">
        <v>1.907856282</v>
      </c>
      <c r="I64">
        <f t="shared" si="0"/>
        <v>5.138443398566392</v>
      </c>
      <c r="J64">
        <f t="shared" si="1"/>
        <v>0.85350653835606238</v>
      </c>
      <c r="K64">
        <f t="shared" si="2"/>
        <v>4.899046000000018E-3</v>
      </c>
      <c r="L64">
        <f t="shared" si="3"/>
        <v>0.54150653835606244</v>
      </c>
    </row>
    <row r="65" spans="1:12" x14ac:dyDescent="0.25">
      <c r="A65">
        <v>39354</v>
      </c>
      <c r="B65">
        <v>3.4123485520000001</v>
      </c>
      <c r="C65" t="s">
        <v>14</v>
      </c>
      <c r="D65">
        <v>2.3849999999999998</v>
      </c>
      <c r="E65" t="s">
        <v>12</v>
      </c>
      <c r="F65">
        <v>21.5</v>
      </c>
      <c r="G65">
        <v>0.61459647299999998</v>
      </c>
      <c r="H65">
        <v>2.05407918</v>
      </c>
      <c r="I65">
        <f t="shared" si="0"/>
        <v>5.5322666084361112</v>
      </c>
      <c r="J65">
        <f t="shared" si="1"/>
        <v>1.6552972146090812</v>
      </c>
      <c r="K65">
        <f t="shared" si="2"/>
        <v>-1.7704035269999998</v>
      </c>
      <c r="L65">
        <f t="shared" si="3"/>
        <v>-0.7297027853909186</v>
      </c>
    </row>
    <row r="66" spans="1:12" x14ac:dyDescent="0.25">
      <c r="A66">
        <v>40106</v>
      </c>
      <c r="B66">
        <v>0.57085787300000002</v>
      </c>
      <c r="C66" t="s">
        <v>14</v>
      </c>
      <c r="D66">
        <v>0.312</v>
      </c>
      <c r="E66" t="s">
        <v>12</v>
      </c>
      <c r="F66">
        <v>21.5</v>
      </c>
      <c r="G66">
        <v>0.33975923899999999</v>
      </c>
      <c r="H66">
        <v>1.9175758110000001</v>
      </c>
      <c r="I66">
        <f t="shared" ref="I66:I97" si="4">H66*2.693307377</f>
        <v>5.1646210777230577</v>
      </c>
      <c r="J66">
        <f t="shared" ref="J66:J97" si="5">G66*2.693307377</f>
        <v>0.91507606480260606</v>
      </c>
      <c r="K66">
        <f t="shared" ref="K66:K97" si="6">G66-D66</f>
        <v>2.7759238999999991E-2</v>
      </c>
      <c r="L66">
        <f t="shared" ref="L66:L97" si="7">J66-D66</f>
        <v>0.60307606480260612</v>
      </c>
    </row>
    <row r="67" spans="1:12" x14ac:dyDescent="0.25">
      <c r="A67">
        <v>40107</v>
      </c>
      <c r="B67">
        <v>0.56193801799999998</v>
      </c>
      <c r="C67" t="s">
        <v>14</v>
      </c>
      <c r="D67">
        <v>0.312</v>
      </c>
      <c r="E67" t="s">
        <v>12</v>
      </c>
      <c r="F67">
        <v>21.5</v>
      </c>
      <c r="G67">
        <v>0.30423470499999999</v>
      </c>
      <c r="H67">
        <v>1.9004696210000001</v>
      </c>
      <c r="I67">
        <f t="shared" si="4"/>
        <v>5.1185488500036946</v>
      </c>
      <c r="J67">
        <f t="shared" si="5"/>
        <v>0.81939757531591872</v>
      </c>
      <c r="K67">
        <f t="shared" si="6"/>
        <v>-7.7652950000000054E-3</v>
      </c>
      <c r="L67">
        <f t="shared" si="7"/>
        <v>0.50739757531591878</v>
      </c>
    </row>
    <row r="68" spans="1:12" x14ac:dyDescent="0.25">
      <c r="A68">
        <v>40133</v>
      </c>
      <c r="B68">
        <v>0.34591576800000001</v>
      </c>
      <c r="C68" t="s">
        <v>14</v>
      </c>
      <c r="D68">
        <v>0.246</v>
      </c>
      <c r="E68" t="s">
        <v>12</v>
      </c>
      <c r="F68">
        <v>21.5</v>
      </c>
      <c r="G68">
        <v>0.27204556000000002</v>
      </c>
      <c r="H68">
        <v>1.903533521</v>
      </c>
      <c r="I68">
        <f t="shared" si="4"/>
        <v>5.1268008744760847</v>
      </c>
      <c r="J68">
        <f t="shared" si="5"/>
        <v>0.73270231362809612</v>
      </c>
      <c r="K68">
        <f t="shared" si="6"/>
        <v>2.6045560000000023E-2</v>
      </c>
      <c r="L68">
        <f t="shared" si="7"/>
        <v>0.48670231362809613</v>
      </c>
    </row>
    <row r="69" spans="1:12" x14ac:dyDescent="0.25">
      <c r="A69">
        <v>39444</v>
      </c>
      <c r="B69">
        <v>2.6832608969999998</v>
      </c>
      <c r="C69" t="s">
        <v>14</v>
      </c>
      <c r="D69">
        <v>2.2559999999999998</v>
      </c>
      <c r="E69" t="s">
        <v>11</v>
      </c>
      <c r="F69">
        <v>21.7</v>
      </c>
      <c r="G69">
        <v>0.41690781399999999</v>
      </c>
      <c r="H69">
        <v>2.0215141299999999</v>
      </c>
      <c r="I69">
        <f t="shared" si="4"/>
        <v>5.4445589190387365</v>
      </c>
      <c r="J69">
        <f t="shared" si="5"/>
        <v>1.1228608909751439</v>
      </c>
      <c r="K69">
        <f t="shared" si="6"/>
        <v>-1.8390921859999998</v>
      </c>
      <c r="L69">
        <f t="shared" si="7"/>
        <v>-1.1331391090248559</v>
      </c>
    </row>
    <row r="70" spans="1:12" x14ac:dyDescent="0.25">
      <c r="A70">
        <v>40029</v>
      </c>
      <c r="B70">
        <v>1.315664151</v>
      </c>
      <c r="C70" t="s">
        <v>14</v>
      </c>
      <c r="D70">
        <v>0.93100000000000005</v>
      </c>
      <c r="E70" t="s">
        <v>11</v>
      </c>
      <c r="F70">
        <v>23.8</v>
      </c>
      <c r="G70">
        <v>0.233565091</v>
      </c>
      <c r="H70">
        <v>2.2099668939999999</v>
      </c>
      <c r="I70">
        <f t="shared" si="4"/>
        <v>5.9521201385359772</v>
      </c>
      <c r="J70">
        <f t="shared" si="5"/>
        <v>0.62906258259997627</v>
      </c>
      <c r="K70">
        <f t="shared" si="6"/>
        <v>-0.69743490900000005</v>
      </c>
      <c r="L70">
        <f t="shared" si="7"/>
        <v>-0.30193741740002378</v>
      </c>
    </row>
    <row r="71" spans="1:12" x14ac:dyDescent="0.25">
      <c r="A71">
        <v>39758</v>
      </c>
      <c r="B71">
        <v>1.8936771590000001</v>
      </c>
      <c r="C71" t="s">
        <v>14</v>
      </c>
      <c r="D71">
        <v>1.722</v>
      </c>
      <c r="E71" t="s">
        <v>11</v>
      </c>
      <c r="F71">
        <v>23.8</v>
      </c>
      <c r="G71">
        <v>0.44505433300000002</v>
      </c>
      <c r="H71">
        <v>1.9961550210000001</v>
      </c>
      <c r="I71">
        <f t="shared" si="4"/>
        <v>5.3762590436948905</v>
      </c>
      <c r="J71">
        <f t="shared" si="5"/>
        <v>1.1986681182347145</v>
      </c>
      <c r="K71">
        <f t="shared" si="6"/>
        <v>-1.2769456669999999</v>
      </c>
      <c r="L71">
        <f t="shared" si="7"/>
        <v>-0.52333188176528544</v>
      </c>
    </row>
    <row r="72" spans="1:12" x14ac:dyDescent="0.25">
      <c r="A72">
        <v>39882</v>
      </c>
      <c r="B72">
        <v>1.8366251709999999</v>
      </c>
      <c r="C72" t="s">
        <v>14</v>
      </c>
      <c r="D72">
        <v>1.5109999999999999</v>
      </c>
      <c r="E72" t="s">
        <v>12</v>
      </c>
      <c r="F72">
        <v>23.8</v>
      </c>
      <c r="G72">
        <v>0.40363821</v>
      </c>
      <c r="H72">
        <v>2.0229937489999998</v>
      </c>
      <c r="I72">
        <f t="shared" si="4"/>
        <v>5.4485439878065858</v>
      </c>
      <c r="J72">
        <f t="shared" si="5"/>
        <v>1.0871217686320751</v>
      </c>
      <c r="K72">
        <f t="shared" si="6"/>
        <v>-1.1073617899999999</v>
      </c>
      <c r="L72">
        <f t="shared" si="7"/>
        <v>-0.4238782313679248</v>
      </c>
    </row>
    <row r="73" spans="1:12" x14ac:dyDescent="0.25">
      <c r="A73">
        <v>39785</v>
      </c>
      <c r="B73">
        <v>1.9277522439999999</v>
      </c>
      <c r="C73" t="s">
        <v>14</v>
      </c>
      <c r="D73">
        <v>1.6539999999999999</v>
      </c>
      <c r="E73" t="s">
        <v>12</v>
      </c>
      <c r="F73">
        <v>23.8</v>
      </c>
      <c r="G73">
        <v>0.50995686799999995</v>
      </c>
      <c r="H73">
        <v>2.0768942680000002</v>
      </c>
      <c r="I73">
        <f t="shared" si="4"/>
        <v>5.5937146532534152</v>
      </c>
      <c r="J73">
        <f t="shared" si="5"/>
        <v>1.3734705945362151</v>
      </c>
      <c r="K73">
        <f t="shared" si="6"/>
        <v>-1.144043132</v>
      </c>
      <c r="L73">
        <f t="shared" si="7"/>
        <v>-0.2805294054637848</v>
      </c>
    </row>
    <row r="74" spans="1:12" x14ac:dyDescent="0.25">
      <c r="A74">
        <v>39669</v>
      </c>
      <c r="B74">
        <v>2.7720305089999999</v>
      </c>
      <c r="C74" t="s">
        <v>14</v>
      </c>
      <c r="D74">
        <v>1.8149999999999999</v>
      </c>
      <c r="E74" t="s">
        <v>11</v>
      </c>
      <c r="F74">
        <v>25</v>
      </c>
      <c r="G74">
        <v>0.59696455100000001</v>
      </c>
      <c r="H74">
        <v>1.977928146</v>
      </c>
      <c r="I74">
        <f t="shared" si="4"/>
        <v>5.3271684667977333</v>
      </c>
      <c r="J74">
        <f t="shared" si="5"/>
        <v>1.6078090290157927</v>
      </c>
      <c r="K74">
        <f t="shared" si="6"/>
        <v>-1.2180354489999998</v>
      </c>
      <c r="L74">
        <f t="shared" si="7"/>
        <v>-0.20719097098420725</v>
      </c>
    </row>
    <row r="75" spans="1:12" x14ac:dyDescent="0.25">
      <c r="A75">
        <v>39788</v>
      </c>
      <c r="B75">
        <v>2.2026691110000001</v>
      </c>
      <c r="C75" t="s">
        <v>14</v>
      </c>
      <c r="D75">
        <v>1.6619999999999999</v>
      </c>
      <c r="E75" t="s">
        <v>12</v>
      </c>
      <c r="F75">
        <v>25</v>
      </c>
      <c r="G75">
        <v>0.45950701700000002</v>
      </c>
      <c r="H75">
        <v>1.878387456</v>
      </c>
      <c r="I75">
        <f t="shared" si="4"/>
        <v>5.0590747921090626</v>
      </c>
      <c r="J75">
        <f t="shared" si="5"/>
        <v>1.2375936386693644</v>
      </c>
      <c r="K75">
        <f t="shared" si="6"/>
        <v>-1.202492983</v>
      </c>
      <c r="L75">
        <f t="shared" si="7"/>
        <v>-0.42440636133063547</v>
      </c>
    </row>
    <row r="76" spans="1:12" x14ac:dyDescent="0.25">
      <c r="A76">
        <v>39718</v>
      </c>
      <c r="B76">
        <v>2.1266343230000002</v>
      </c>
      <c r="C76" t="s">
        <v>14</v>
      </c>
      <c r="D76">
        <v>1.744</v>
      </c>
      <c r="E76" t="s">
        <v>11</v>
      </c>
      <c r="F76">
        <v>25.5</v>
      </c>
      <c r="G76">
        <v>0.44998286199999998</v>
      </c>
      <c r="H76">
        <v>2.2039202179999999</v>
      </c>
      <c r="I76">
        <f t="shared" si="4"/>
        <v>5.935834581458848</v>
      </c>
      <c r="J76">
        <f t="shared" si="5"/>
        <v>1.2119421617481729</v>
      </c>
      <c r="K76">
        <f t="shared" si="6"/>
        <v>-1.2940171380000001</v>
      </c>
      <c r="L76">
        <f t="shared" si="7"/>
        <v>-0.53205783825182706</v>
      </c>
    </row>
    <row r="77" spans="1:12" x14ac:dyDescent="0.25">
      <c r="A77">
        <v>40071</v>
      </c>
      <c r="B77">
        <v>0.75734979400000002</v>
      </c>
      <c r="C77" t="s">
        <v>14</v>
      </c>
      <c r="D77">
        <v>0.45200000000000001</v>
      </c>
      <c r="E77" t="s">
        <v>11</v>
      </c>
      <c r="F77">
        <v>26.4</v>
      </c>
      <c r="G77">
        <v>0.25811521500000001</v>
      </c>
      <c r="H77">
        <v>1.977331454</v>
      </c>
      <c r="I77">
        <f t="shared" si="4"/>
        <v>5.3255613918323359</v>
      </c>
      <c r="J77">
        <f t="shared" si="5"/>
        <v>0.69518361267544104</v>
      </c>
      <c r="K77">
        <f t="shared" si="6"/>
        <v>-0.193884785</v>
      </c>
      <c r="L77">
        <f t="shared" si="7"/>
        <v>0.24318361267544103</v>
      </c>
    </row>
    <row r="78" spans="1:12" x14ac:dyDescent="0.25">
      <c r="A78">
        <v>40116</v>
      </c>
      <c r="B78">
        <v>0.57756206300000001</v>
      </c>
      <c r="C78" t="s">
        <v>14</v>
      </c>
      <c r="D78">
        <v>0.34770705000000002</v>
      </c>
      <c r="E78" t="s">
        <v>11</v>
      </c>
      <c r="F78">
        <v>26.4</v>
      </c>
      <c r="G78">
        <v>0.28865589400000002</v>
      </c>
      <c r="H78">
        <v>1.913305238</v>
      </c>
      <c r="I78">
        <f t="shared" si="4"/>
        <v>5.1531191119581408</v>
      </c>
      <c r="J78">
        <f t="shared" si="5"/>
        <v>0.77743904872473013</v>
      </c>
      <c r="K78">
        <f t="shared" si="6"/>
        <v>-5.9051155999999994E-2</v>
      </c>
      <c r="L78">
        <f t="shared" si="7"/>
        <v>0.42973199872473011</v>
      </c>
    </row>
    <row r="79" spans="1:12" x14ac:dyDescent="0.25">
      <c r="A79">
        <v>40089</v>
      </c>
      <c r="B79">
        <v>0.65787748400000001</v>
      </c>
      <c r="C79" t="s">
        <v>14</v>
      </c>
      <c r="D79">
        <v>0.372</v>
      </c>
      <c r="E79" t="s">
        <v>12</v>
      </c>
      <c r="F79">
        <v>26.4</v>
      </c>
      <c r="G79">
        <v>0.30309894399999998</v>
      </c>
      <c r="H79">
        <v>1.976229767</v>
      </c>
      <c r="I79">
        <f t="shared" si="4"/>
        <v>5.3225942101080914</v>
      </c>
      <c r="J79">
        <f t="shared" si="5"/>
        <v>0.81633862183610983</v>
      </c>
      <c r="K79">
        <f t="shared" si="6"/>
        <v>-6.8901056000000016E-2</v>
      </c>
      <c r="L79">
        <f t="shared" si="7"/>
        <v>0.44433862183610984</v>
      </c>
    </row>
    <row r="80" spans="1:12" x14ac:dyDescent="0.25">
      <c r="A80">
        <v>40092</v>
      </c>
      <c r="B80">
        <v>0.59517218800000005</v>
      </c>
      <c r="C80" t="s">
        <v>14</v>
      </c>
      <c r="D80">
        <v>0.372</v>
      </c>
      <c r="E80" t="s">
        <v>12</v>
      </c>
      <c r="F80">
        <v>26.4</v>
      </c>
      <c r="G80">
        <v>0.34058014199999997</v>
      </c>
      <c r="H80">
        <v>1.8783518729999999</v>
      </c>
      <c r="I80">
        <f t="shared" si="4"/>
        <v>5.058978956152667</v>
      </c>
      <c r="J80">
        <f t="shared" si="5"/>
        <v>0.9172870089083075</v>
      </c>
      <c r="K80">
        <f t="shared" si="6"/>
        <v>-3.1419858000000023E-2</v>
      </c>
      <c r="L80">
        <f t="shared" si="7"/>
        <v>0.5452870089083075</v>
      </c>
    </row>
    <row r="81" spans="1:12" x14ac:dyDescent="0.25">
      <c r="A81">
        <v>39653</v>
      </c>
      <c r="B81">
        <v>2.318362391</v>
      </c>
      <c r="C81" t="s">
        <v>14</v>
      </c>
      <c r="D81">
        <v>1.867214237</v>
      </c>
      <c r="E81" t="s">
        <v>11</v>
      </c>
      <c r="F81">
        <v>31.1</v>
      </c>
      <c r="G81">
        <v>0.496866747</v>
      </c>
      <c r="H81">
        <v>2.0105535379999999</v>
      </c>
      <c r="I81">
        <f t="shared" si="4"/>
        <v>5.4150386757488498</v>
      </c>
      <c r="J81">
        <f t="shared" si="5"/>
        <v>1.3382148750810927</v>
      </c>
      <c r="K81">
        <f t="shared" si="6"/>
        <v>-1.3703474899999999</v>
      </c>
      <c r="L81">
        <f t="shared" si="7"/>
        <v>-0.52899936191890728</v>
      </c>
    </row>
    <row r="82" spans="1:12" x14ac:dyDescent="0.25">
      <c r="A82">
        <v>39651</v>
      </c>
      <c r="B82">
        <v>2.6799861210000002</v>
      </c>
      <c r="C82" t="s">
        <v>14</v>
      </c>
      <c r="D82">
        <v>1.81</v>
      </c>
      <c r="E82" t="s">
        <v>11</v>
      </c>
      <c r="F82">
        <v>31.1</v>
      </c>
      <c r="G82">
        <v>0.58027929700000003</v>
      </c>
      <c r="H82">
        <v>1.935150674</v>
      </c>
      <c r="I82">
        <f t="shared" si="4"/>
        <v>5.2119555858907223</v>
      </c>
      <c r="J82">
        <f t="shared" si="5"/>
        <v>1.5628705113304739</v>
      </c>
      <c r="K82">
        <f t="shared" si="6"/>
        <v>-1.2297207029999999</v>
      </c>
      <c r="L82">
        <f t="shared" si="7"/>
        <v>-0.24712948866952611</v>
      </c>
    </row>
    <row r="83" spans="1:12" x14ac:dyDescent="0.25">
      <c r="A83">
        <v>39827</v>
      </c>
      <c r="B83">
        <v>2.0825963110000001</v>
      </c>
      <c r="C83" t="s">
        <v>14</v>
      </c>
      <c r="D83">
        <v>1.6481861739999999</v>
      </c>
      <c r="E83" t="s">
        <v>11</v>
      </c>
      <c r="F83">
        <v>31.8</v>
      </c>
      <c r="G83">
        <v>0.48604919800000002</v>
      </c>
      <c r="H83">
        <v>1.9364379599999999</v>
      </c>
      <c r="I83">
        <f t="shared" si="4"/>
        <v>5.2154226427708306</v>
      </c>
      <c r="J83">
        <f t="shared" si="5"/>
        <v>1.3090798905583336</v>
      </c>
      <c r="K83">
        <f t="shared" si="6"/>
        <v>-1.1621369759999998</v>
      </c>
      <c r="L83">
        <f t="shared" si="7"/>
        <v>-0.33910628344166627</v>
      </c>
    </row>
    <row r="84" spans="1:12" x14ac:dyDescent="0.25">
      <c r="A84">
        <v>39903</v>
      </c>
      <c r="B84">
        <v>1.781816394</v>
      </c>
      <c r="C84" t="s">
        <v>14</v>
      </c>
      <c r="D84">
        <v>1.5167693360000001</v>
      </c>
      <c r="E84" t="s">
        <v>12</v>
      </c>
      <c r="F84">
        <v>31.8</v>
      </c>
      <c r="G84">
        <v>0.48795600700000002</v>
      </c>
      <c r="H84">
        <v>1.9705435570000001</v>
      </c>
      <c r="I84">
        <f t="shared" si="4"/>
        <v>5.3072794987679197</v>
      </c>
      <c r="J84">
        <f t="shared" si="5"/>
        <v>1.3142155133045637</v>
      </c>
      <c r="K84">
        <f t="shared" si="6"/>
        <v>-1.0288133290000001</v>
      </c>
      <c r="L84">
        <f t="shared" si="7"/>
        <v>-0.20255382269543643</v>
      </c>
    </row>
    <row r="85" spans="1:12" x14ac:dyDescent="0.25">
      <c r="A85">
        <v>39658</v>
      </c>
      <c r="B85">
        <v>3.1576657950000002</v>
      </c>
      <c r="C85" t="s">
        <v>14</v>
      </c>
      <c r="D85">
        <v>1.869952088</v>
      </c>
      <c r="E85" t="s">
        <v>11</v>
      </c>
      <c r="F85">
        <v>33.4</v>
      </c>
      <c r="G85">
        <v>0.56531552399999996</v>
      </c>
      <c r="H85">
        <v>1.9999188640000001</v>
      </c>
      <c r="I85">
        <f t="shared" si="4"/>
        <v>5.38639622981266</v>
      </c>
      <c r="J85">
        <f t="shared" si="5"/>
        <v>1.5225684711218204</v>
      </c>
      <c r="K85">
        <f t="shared" si="6"/>
        <v>-1.3046365639999999</v>
      </c>
      <c r="L85">
        <f t="shared" si="7"/>
        <v>-0.34738361687817965</v>
      </c>
    </row>
    <row r="86" spans="1:12" x14ac:dyDescent="0.25">
      <c r="A86">
        <v>39836</v>
      </c>
      <c r="B86">
        <v>2.1466606819999998</v>
      </c>
      <c r="C86" t="s">
        <v>14</v>
      </c>
      <c r="D86">
        <v>1.591</v>
      </c>
      <c r="E86" t="s">
        <v>11</v>
      </c>
      <c r="F86">
        <v>34.4</v>
      </c>
      <c r="G86">
        <v>0.49244653700000002</v>
      </c>
      <c r="H86">
        <v>1.960246358</v>
      </c>
      <c r="I86">
        <f t="shared" si="4"/>
        <v>5.2795459767387829</v>
      </c>
      <c r="J86">
        <f t="shared" si="5"/>
        <v>1.3263098908802036</v>
      </c>
      <c r="K86">
        <f t="shared" si="6"/>
        <v>-1.098553463</v>
      </c>
      <c r="L86">
        <f t="shared" si="7"/>
        <v>-0.2646901091197964</v>
      </c>
    </row>
    <row r="87" spans="1:12" x14ac:dyDescent="0.25">
      <c r="A87">
        <v>39701</v>
      </c>
      <c r="B87">
        <v>2.4202571370000001</v>
      </c>
      <c r="C87" t="s">
        <v>14</v>
      </c>
      <c r="D87">
        <v>1.8149999999999999</v>
      </c>
      <c r="E87" t="s">
        <v>11</v>
      </c>
      <c r="F87">
        <v>34.4</v>
      </c>
      <c r="G87">
        <v>0.48947113599999997</v>
      </c>
      <c r="H87">
        <v>2.0285038540000002</v>
      </c>
      <c r="I87">
        <f t="shared" si="4"/>
        <v>5.4633843942511318</v>
      </c>
      <c r="J87">
        <f t="shared" si="5"/>
        <v>1.3182962214173701</v>
      </c>
      <c r="K87">
        <f t="shared" si="6"/>
        <v>-1.325528864</v>
      </c>
      <c r="L87">
        <f t="shared" si="7"/>
        <v>-0.49670377858262982</v>
      </c>
    </row>
    <row r="88" spans="1:12" x14ac:dyDescent="0.25">
      <c r="A88">
        <v>39702</v>
      </c>
      <c r="B88">
        <v>2.269271872</v>
      </c>
      <c r="C88" t="s">
        <v>14</v>
      </c>
      <c r="D88">
        <v>1.8149999999999999</v>
      </c>
      <c r="E88" t="s">
        <v>11</v>
      </c>
      <c r="F88">
        <v>34.4</v>
      </c>
      <c r="G88">
        <v>0.41170124899999999</v>
      </c>
      <c r="H88">
        <v>2.0244110289999999</v>
      </c>
      <c r="I88">
        <f t="shared" si="4"/>
        <v>5.4523611584858607</v>
      </c>
      <c r="J88">
        <f t="shared" si="5"/>
        <v>1.1088380110518139</v>
      </c>
      <c r="K88">
        <f t="shared" si="6"/>
        <v>-1.4032987509999999</v>
      </c>
      <c r="L88">
        <f t="shared" si="7"/>
        <v>-0.70616198894818605</v>
      </c>
    </row>
    <row r="89" spans="1:12" x14ac:dyDescent="0.25">
      <c r="A89">
        <v>39835</v>
      </c>
      <c r="B89">
        <v>2.0902854610000001</v>
      </c>
      <c r="C89" t="s">
        <v>14</v>
      </c>
      <c r="D89">
        <v>1.591</v>
      </c>
      <c r="E89" t="s">
        <v>12</v>
      </c>
      <c r="F89">
        <v>34.4</v>
      </c>
      <c r="G89">
        <v>0.54734102699999998</v>
      </c>
      <c r="H89">
        <v>1.9955872960000001</v>
      </c>
      <c r="I89">
        <f t="shared" si="4"/>
        <v>5.374729985764283</v>
      </c>
      <c r="J89">
        <f t="shared" si="5"/>
        <v>1.4741576257538562</v>
      </c>
      <c r="K89">
        <f t="shared" si="6"/>
        <v>-1.0436589729999999</v>
      </c>
      <c r="L89">
        <f t="shared" si="7"/>
        <v>-0.11684237424614374</v>
      </c>
    </row>
    <row r="90" spans="1:12" x14ac:dyDescent="0.25">
      <c r="A90">
        <v>39838</v>
      </c>
      <c r="B90">
        <v>1.8775624639999999</v>
      </c>
      <c r="C90" t="s">
        <v>14</v>
      </c>
      <c r="D90">
        <v>1.591</v>
      </c>
      <c r="E90" t="s">
        <v>12</v>
      </c>
      <c r="F90">
        <v>34.4</v>
      </c>
      <c r="G90">
        <v>0.50503933700000003</v>
      </c>
      <c r="H90">
        <v>2.008342362</v>
      </c>
      <c r="I90">
        <f t="shared" si="4"/>
        <v>5.4090832991162046</v>
      </c>
      <c r="J90">
        <f t="shared" si="5"/>
        <v>1.3602261720172892</v>
      </c>
      <c r="K90">
        <f t="shared" si="6"/>
        <v>-1.0859606629999998</v>
      </c>
      <c r="L90">
        <f t="shared" si="7"/>
        <v>-0.23077382798271073</v>
      </c>
    </row>
    <row r="91" spans="1:12" x14ac:dyDescent="0.25">
      <c r="A91">
        <v>39990</v>
      </c>
      <c r="B91">
        <v>1.613957664</v>
      </c>
      <c r="C91" t="s">
        <v>14</v>
      </c>
      <c r="D91">
        <v>1.169</v>
      </c>
      <c r="E91" t="s">
        <v>11</v>
      </c>
      <c r="F91">
        <v>41.4</v>
      </c>
      <c r="G91">
        <v>0.38729822600000002</v>
      </c>
      <c r="H91">
        <v>2.0433642650000001</v>
      </c>
      <c r="I91">
        <f t="shared" si="4"/>
        <v>5.5034080488226831</v>
      </c>
      <c r="J91">
        <f t="shared" si="5"/>
        <v>1.0431131691848132</v>
      </c>
      <c r="K91">
        <f t="shared" si="6"/>
        <v>-0.78170177400000007</v>
      </c>
      <c r="L91">
        <f t="shared" si="7"/>
        <v>-0.12588683081518681</v>
      </c>
    </row>
    <row r="92" spans="1:12" x14ac:dyDescent="0.25">
      <c r="A92">
        <v>39828</v>
      </c>
      <c r="B92">
        <v>2.1927742210000001</v>
      </c>
      <c r="C92" t="s">
        <v>14</v>
      </c>
      <c r="D92">
        <v>1.591</v>
      </c>
      <c r="E92" t="s">
        <v>11</v>
      </c>
      <c r="F92">
        <v>41.4</v>
      </c>
      <c r="G92">
        <v>0.45679677499999999</v>
      </c>
      <c r="H92">
        <v>2.006547173</v>
      </c>
      <c r="I92">
        <f t="shared" si="4"/>
        <v>5.4042483033393953</v>
      </c>
      <c r="J92">
        <f t="shared" si="5"/>
        <v>1.2302941238973091</v>
      </c>
      <c r="K92">
        <f t="shared" si="6"/>
        <v>-1.134203225</v>
      </c>
      <c r="L92">
        <f t="shared" si="7"/>
        <v>-0.36070587610269089</v>
      </c>
    </row>
    <row r="93" spans="1:12" x14ac:dyDescent="0.25">
      <c r="A93">
        <v>39829</v>
      </c>
      <c r="B93">
        <v>2.1951230599999998</v>
      </c>
      <c r="C93" t="s">
        <v>14</v>
      </c>
      <c r="D93">
        <v>1.6481861739999999</v>
      </c>
      <c r="E93" t="s">
        <v>11</v>
      </c>
      <c r="F93">
        <v>41.4</v>
      </c>
      <c r="G93">
        <v>0.47378011799999997</v>
      </c>
      <c r="H93">
        <v>2.0267349440000002</v>
      </c>
      <c r="I93">
        <f t="shared" si="4"/>
        <v>5.4586201758988828</v>
      </c>
      <c r="J93">
        <f t="shared" si="5"/>
        <v>1.2760354868853303</v>
      </c>
      <c r="K93">
        <f t="shared" si="6"/>
        <v>-1.174406056</v>
      </c>
      <c r="L93">
        <f t="shared" si="7"/>
        <v>-0.37215068711466959</v>
      </c>
    </row>
    <row r="94" spans="1:12" x14ac:dyDescent="0.25">
      <c r="A94">
        <v>39360</v>
      </c>
      <c r="B94">
        <v>2.3696122179999999</v>
      </c>
      <c r="C94" t="s">
        <v>14</v>
      </c>
      <c r="D94">
        <v>2.371</v>
      </c>
      <c r="E94" t="s">
        <v>12</v>
      </c>
      <c r="F94">
        <v>41.4</v>
      </c>
      <c r="G94">
        <v>0.55949742899999999</v>
      </c>
      <c r="H94">
        <v>2.0591880680000001</v>
      </c>
      <c r="I94">
        <f t="shared" si="4"/>
        <v>5.5460264141747775</v>
      </c>
      <c r="J94">
        <f t="shared" si="5"/>
        <v>1.5068985529382337</v>
      </c>
      <c r="K94">
        <f t="shared" si="6"/>
        <v>-1.8115025710000001</v>
      </c>
      <c r="L94">
        <f t="shared" si="7"/>
        <v>-0.86410144706176628</v>
      </c>
    </row>
    <row r="95" spans="1:12" x14ac:dyDescent="0.25">
      <c r="A95">
        <v>39415</v>
      </c>
      <c r="B95">
        <v>2.9214915459999999</v>
      </c>
      <c r="C95" t="s">
        <v>14</v>
      </c>
      <c r="D95">
        <v>2.1360000000000001</v>
      </c>
      <c r="E95" t="s">
        <v>12</v>
      </c>
      <c r="F95">
        <v>41.4</v>
      </c>
      <c r="G95">
        <v>0.61236163300000002</v>
      </c>
      <c r="H95">
        <v>1.977522115</v>
      </c>
      <c r="I95">
        <f t="shared" si="4"/>
        <v>5.3260749005101422</v>
      </c>
      <c r="J95">
        <f t="shared" si="5"/>
        <v>1.6492781035506667</v>
      </c>
      <c r="K95">
        <f t="shared" si="6"/>
        <v>-1.5236383670000002</v>
      </c>
      <c r="L95">
        <f t="shared" si="7"/>
        <v>-0.48672189644933339</v>
      </c>
    </row>
    <row r="96" spans="1:12" x14ac:dyDescent="0.25">
      <c r="A96">
        <v>38961</v>
      </c>
      <c r="B96">
        <v>3.5737575709999998</v>
      </c>
      <c r="C96" t="s">
        <v>14</v>
      </c>
      <c r="D96">
        <v>2.76</v>
      </c>
      <c r="E96" t="s">
        <v>12</v>
      </c>
      <c r="F96">
        <v>86.9</v>
      </c>
      <c r="G96">
        <v>0.52354631299999999</v>
      </c>
      <c r="H96">
        <v>2.0283316720000002</v>
      </c>
      <c r="I96">
        <f t="shared" si="4"/>
        <v>5.4629206552003451</v>
      </c>
      <c r="J96">
        <f t="shared" si="5"/>
        <v>1.410071147004051</v>
      </c>
      <c r="K96">
        <f t="shared" si="6"/>
        <v>-2.236453687</v>
      </c>
      <c r="L96">
        <f t="shared" si="7"/>
        <v>-1.3499288529959488</v>
      </c>
    </row>
    <row r="97" spans="1:12" x14ac:dyDescent="0.25">
      <c r="A97">
        <v>38962</v>
      </c>
      <c r="B97">
        <v>3.5085185559999998</v>
      </c>
      <c r="C97" t="s">
        <v>14</v>
      </c>
      <c r="D97">
        <v>2.76</v>
      </c>
      <c r="E97" t="s">
        <v>12</v>
      </c>
      <c r="F97">
        <v>86.9</v>
      </c>
      <c r="G97">
        <v>0.53925271699999999</v>
      </c>
      <c r="H97">
        <v>2.0594525240000001</v>
      </c>
      <c r="I97">
        <f t="shared" si="4"/>
        <v>5.5467386754704702</v>
      </c>
      <c r="J97">
        <f t="shared" si="5"/>
        <v>1.4523733207633933</v>
      </c>
      <c r="K97">
        <f t="shared" si="6"/>
        <v>-2.2207472829999997</v>
      </c>
      <c r="L97">
        <f t="shared" si="7"/>
        <v>-1.3076266792366065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Dam Kim Tuyen</dc:creator>
  <cp:lastModifiedBy>Huynh, Dam Kim Tuyen</cp:lastModifiedBy>
  <dcterms:created xsi:type="dcterms:W3CDTF">2015-06-05T18:17:20Z</dcterms:created>
  <dcterms:modified xsi:type="dcterms:W3CDTF">2025-11-18T04:14:00Z</dcterms:modified>
</cp:coreProperties>
</file>